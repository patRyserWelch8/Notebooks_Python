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3.xml" ContentType="application/vnd.openxmlformats-officedocument.spreadsheetml.worksheet+xml"/>
  <Override PartName="/xl/chartsheets/sheet6.xml" ContentType="application/vnd.openxmlformats-officedocument.spreadsheetml.chart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3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prw332/Documents/github/Notebooks_Python/Business analytics and intelligence/Isle Of Scilly /"/>
    </mc:Choice>
  </mc:AlternateContent>
  <xr:revisionPtr revIDLastSave="0" documentId="13_ncr:40009_{B2B53F40-204F-CD4D-AA46-8BC0CF6D4E83}" xr6:coauthVersionLast="47" xr6:coauthVersionMax="47" xr10:uidLastSave="{00000000-0000-0000-0000-000000000000}"/>
  <bookViews>
    <workbookView xWindow="780" yWindow="1000" windowWidth="27640" windowHeight="15480" activeTab="1"/>
  </bookViews>
  <sheets>
    <sheet name="data" sheetId="1" r:id="rId1"/>
    <sheet name="Dates vs Prices" sheetId="11" r:id="rId2"/>
    <sheet name="Summary statistics" sheetId="3" r:id="rId3"/>
    <sheet name="Prices Histograms" sheetId="4" r:id="rId4"/>
    <sheet name="Prices distribution outline" sheetId="5" r:id="rId5"/>
    <sheet name="Prices Cumulative distribution " sheetId="6" r:id="rId6"/>
    <sheet name="Prices - outlines of cum. dist." sheetId="7" r:id="rId7"/>
    <sheet name="Classes" sheetId="2" r:id="rId8"/>
    <sheet name="Proportion of Yearly sales" sheetId="9" r:id="rId9"/>
    <sheet name="Contigency tables" sheetId="8" r:id="rId10"/>
  </sheets>
  <definedNames>
    <definedName name="_xlnm._FilterDatabase" localSheetId="0" hidden="1">data!$A$1:$J$311</definedName>
    <definedName name="_xlchart.v1.0" hidden="1">data!$C$1</definedName>
    <definedName name="_xlchart.v1.1" hidden="1">data!$C$2:$C$311</definedName>
    <definedName name="_xlchart.v1.10" hidden="1">Classes!$K$1</definedName>
    <definedName name="_xlchart.v1.2" hidden="1">data!$D$1</definedName>
    <definedName name="_xlchart.v1.3" hidden="1">data!$D$2:$D$311</definedName>
    <definedName name="_xlchart.v1.4" hidden="1">data!$C$1</definedName>
    <definedName name="_xlchart.v1.5" hidden="1">data!$C$2:$C$311</definedName>
    <definedName name="_xlchart.v1.6" hidden="1">data!$D$1</definedName>
    <definedName name="_xlchart.v1.7" hidden="1">data!$D$2:$D$311</definedName>
    <definedName name="_xlchart.v1.8" hidden="1">Classes!$D$2:$D$53</definedName>
    <definedName name="_xlchart.v1.9" hidden="1">Classes!$G$1:$G$34</definedName>
    <definedName name="Prices">data!$C$2:$C$311</definedName>
    <definedName name="types">data!$H$2:$H$311</definedName>
    <definedName name="Years">data!$E$2:$E$311</definedName>
  </definedNames>
  <calcPr calcId="191029"/>
  <pivotCaches>
    <pivotCache cacheId="5" r:id="rId11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2" i="2"/>
  <c r="I2" i="2"/>
  <c r="G2" i="2" s="1"/>
  <c r="B10" i="3"/>
  <c r="B9" i="3" s="1"/>
  <c r="B11" i="3"/>
  <c r="B3" i="3"/>
  <c r="B6" i="3"/>
  <c r="B4" i="3"/>
  <c r="B8" i="3"/>
  <c r="B5" i="3"/>
  <c r="B7" i="3"/>
  <c r="A1" i="1" a="1"/>
  <c r="A1" i="1" s="1"/>
  <c r="H3" i="2" l="1"/>
  <c r="I3" i="2" l="1"/>
  <c r="G3" i="2" s="1"/>
  <c r="H4" i="2" l="1"/>
  <c r="I4" i="2" l="1"/>
  <c r="G4" i="2"/>
  <c r="H5" i="2" l="1"/>
  <c r="I5" i="2" l="1"/>
  <c r="G5" i="2"/>
  <c r="H6" i="2" l="1"/>
  <c r="I6" i="2" l="1"/>
  <c r="G6" i="2"/>
  <c r="H7" i="2" l="1"/>
  <c r="I7" i="2" l="1"/>
  <c r="G7" i="2" s="1"/>
  <c r="H8" i="2" l="1"/>
  <c r="I8" i="2" l="1"/>
  <c r="H9" i="2" s="1"/>
  <c r="G8" i="2"/>
  <c r="I9" i="2" l="1"/>
  <c r="H10" i="2" s="1"/>
  <c r="G9" i="2"/>
  <c r="I10" i="2" l="1"/>
  <c r="H11" i="2" s="1"/>
  <c r="G10" i="2"/>
  <c r="I11" i="2" l="1"/>
  <c r="H12" i="2" s="1"/>
  <c r="G11" i="2"/>
  <c r="I12" i="2" l="1"/>
  <c r="H13" i="2" s="1"/>
  <c r="G12" i="2"/>
  <c r="I13" i="2" l="1"/>
  <c r="H14" i="2" s="1"/>
  <c r="G13" i="2"/>
  <c r="I14" i="2" l="1"/>
  <c r="H15" i="2" s="1"/>
  <c r="G14" i="2"/>
  <c r="I15" i="2" l="1"/>
  <c r="H16" i="2" s="1"/>
  <c r="G15" i="2"/>
  <c r="I16" i="2" l="1"/>
  <c r="H17" i="2" s="1"/>
  <c r="G16" i="2"/>
  <c r="I17" i="2" l="1"/>
  <c r="H18" i="2" s="1"/>
  <c r="G17" i="2"/>
  <c r="I18" i="2" l="1"/>
  <c r="H19" i="2" s="1"/>
  <c r="G18" i="2"/>
  <c r="I19" i="2" l="1"/>
  <c r="H20" i="2" s="1"/>
  <c r="G19" i="2"/>
  <c r="I20" i="2" l="1"/>
  <c r="H21" i="2" s="1"/>
  <c r="G20" i="2"/>
  <c r="I21" i="2" l="1"/>
  <c r="H22" i="2" s="1"/>
  <c r="G21" i="2"/>
  <c r="I22" i="2" l="1"/>
  <c r="H23" i="2" s="1"/>
  <c r="G22" i="2"/>
  <c r="I23" i="2" l="1"/>
  <c r="H24" i="2" s="1"/>
  <c r="G23" i="2"/>
  <c r="I24" i="2" l="1"/>
  <c r="H25" i="2" s="1"/>
  <c r="G24" i="2"/>
  <c r="I25" i="2" l="1"/>
  <c r="H26" i="2" s="1"/>
  <c r="G25" i="2"/>
  <c r="I26" i="2" l="1"/>
  <c r="H27" i="2" s="1"/>
  <c r="G26" i="2"/>
  <c r="I27" i="2" l="1"/>
  <c r="H28" i="2" s="1"/>
  <c r="G27" i="2"/>
  <c r="I28" i="2" l="1"/>
  <c r="H29" i="2" s="1"/>
  <c r="G28" i="2"/>
  <c r="I29" i="2" l="1"/>
  <c r="H30" i="2" s="1"/>
  <c r="G29" i="2"/>
  <c r="I30" i="2" l="1"/>
  <c r="H31" i="2" s="1"/>
  <c r="G30" i="2"/>
  <c r="I31" i="2" l="1"/>
  <c r="H32" i="2" s="1"/>
  <c r="G31" i="2"/>
  <c r="I32" i="2" l="1"/>
  <c r="H33" i="2" s="1"/>
  <c r="G32" i="2"/>
  <c r="I33" i="2" l="1"/>
  <c r="H34" i="2" s="1"/>
  <c r="G33" i="2"/>
  <c r="I34" i="2" l="1"/>
  <c r="K2" i="2" s="1" a="1"/>
  <c r="K2" i="2" s="1"/>
  <c r="M2" i="2" s="1"/>
  <c r="M3" i="2" s="1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G34" i="2"/>
</calcChain>
</file>

<file path=xl/metadata.xml><?xml version="1.0" encoding="utf-8"?>
<metadata xmlns="http://purl.oclc.org/ooxml/spreadsheetml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<sst xmlns="http://purl.oclc.org/ooxml/spreadsheetml/main" count="656" uniqueCount="36">
  <si>
    <t>Name</t>
  </si>
  <si>
    <t>Price</t>
  </si>
  <si>
    <t>Date of Transfer</t>
  </si>
  <si>
    <t>Year</t>
  </si>
  <si>
    <t>Month</t>
  </si>
  <si>
    <t>Day</t>
  </si>
  <si>
    <t>Property Type</t>
  </si>
  <si>
    <t>Area (sq km)</t>
  </si>
  <si>
    <t>est_pop</t>
  </si>
  <si>
    <t>ISLES OF SCILLY</t>
  </si>
  <si>
    <t>S</t>
  </si>
  <si>
    <t>T</t>
  </si>
  <si>
    <t>D</t>
  </si>
  <si>
    <t>F</t>
  </si>
  <si>
    <t>O</t>
  </si>
  <si>
    <t>Interval</t>
  </si>
  <si>
    <t>Lower class interval</t>
  </si>
  <si>
    <t>Higher class interval</t>
  </si>
  <si>
    <t>Frequency</t>
  </si>
  <si>
    <t>Prices</t>
  </si>
  <si>
    <t>Minimum</t>
  </si>
  <si>
    <t>Average - Mean:</t>
  </si>
  <si>
    <t>Standard deviation:</t>
  </si>
  <si>
    <t>Maximum:</t>
  </si>
  <si>
    <t>Average - Mode:</t>
  </si>
  <si>
    <t>Average- Median:</t>
  </si>
  <si>
    <t xml:space="preserve">Interquartile Range: </t>
  </si>
  <si>
    <t>Quartile 1 :</t>
  </si>
  <si>
    <t>Quartile 3:</t>
  </si>
  <si>
    <t>Cumulative frequency</t>
  </si>
  <si>
    <t>frequency density</t>
  </si>
  <si>
    <t>Class width</t>
  </si>
  <si>
    <t>Row Labels</t>
  </si>
  <si>
    <t>Grand Total</t>
  </si>
  <si>
    <t>Column Labels</t>
  </si>
  <si>
    <t>Count of Price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</si>
</sst>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£&quot;#,##0.00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8" fillId="0" borderId="0" xfId="0" applyFont="1"/>
    <xf numFmtId="165" fontId="0" fillId="0" borderId="0" xfId="0" applyNumberFormat="1"/>
    <xf numFmtId="0" fontId="19" fillId="0" borderId="10" xfId="0" applyFont="1" applyBorder="1"/>
    <xf numFmtId="165" fontId="20" fillId="0" borderId="10" xfId="0" applyNumberFormat="1" applyFont="1" applyBorder="1"/>
    <xf numFmtId="0" fontId="0" fillId="0" borderId="0" xfId="0" applyAlignment="1">
      <alignment wrapText="1"/>
    </xf>
    <xf numFmtId="3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3.xml"/><Relationship Id="rId13" Type="http://purl.oclc.org/ooxml/officeDocument/relationships/styles" Target="styles.xml"/><Relationship Id="rId18" Type="http://schemas.microsoft.com/office/2017/06/relationships/rdRichValueTypes" Target="richData/rdRichValueTypes.xml"/><Relationship Id="rId3" Type="http://purl.oclc.org/ooxml/officeDocument/relationships/worksheet" Target="worksheets/sheet2.xml"/><Relationship Id="rId7" Type="http://purl.oclc.org/ooxml/officeDocument/relationships/chartsheet" Target="chartsheets/sheet5.xml"/><Relationship Id="rId12" Type="http://purl.oclc.org/ooxml/officeDocument/relationships/theme" Target="theme/theme1.xml"/><Relationship Id="rId17" Type="http://schemas.microsoft.com/office/2017/06/relationships/rdRichValueStructure" Target="richData/rdrichvaluestructure.xml"/><Relationship Id="rId2" Type="http://purl.oclc.org/ooxml/officeDocument/relationships/chartsheet" Target="chartsheets/sheet1.xml"/><Relationship Id="rId16" Type="http://schemas.microsoft.com/office/2017/06/relationships/rdRichValue" Target="richData/rdrichvalue.xml"/><Relationship Id="rId1" Type="http://purl.oclc.org/ooxml/officeDocument/relationships/worksheet" Target="worksheets/sheet1.xml"/><Relationship Id="rId6" Type="http://purl.oclc.org/ooxml/officeDocument/relationships/chartsheet" Target="chartsheets/sheet4.xml"/><Relationship Id="rId11" Type="http://purl.oclc.org/ooxml/officeDocument/relationships/pivotCacheDefinition" Target="pivotCache/pivotCacheDefinition1.xml"/><Relationship Id="rId5" Type="http://purl.oclc.org/ooxml/officeDocument/relationships/chartsheet" Target="chartsheets/sheet3.xml"/><Relationship Id="rId15" Type="http://purl.oclc.org/ooxml/officeDocument/relationships/sheetMetadata" Target="metadata.xml"/><Relationship Id="rId10" Type="http://purl.oclc.org/ooxml/officeDocument/relationships/worksheet" Target="worksheets/sheet4.xml"/><Relationship Id="rId19" Type="http://purl.oclc.org/ooxml/officeDocument/relationships/calcChain" Target="calcChain.xml"/><Relationship Id="rId4" Type="http://purl.oclc.org/ooxml/officeDocument/relationships/chartsheet" Target="chartsheets/sheet2.xml"/><Relationship Id="rId9" Type="http://purl.oclc.org/ooxml/officeDocument/relationships/chartsheet" Target="chartsheets/sheet6.xml"/><Relationship Id="rId1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Date of Transfer and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Date of Transfer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data!$D$2:$D$311</c:f>
              <c:numCache>
                <c:formatCode>m/d/yy</c:formatCode>
                <c:ptCount val="310"/>
                <c:pt idx="0">
                  <c:v>36944</c:v>
                </c:pt>
                <c:pt idx="1">
                  <c:v>37670</c:v>
                </c:pt>
                <c:pt idx="2">
                  <c:v>38051</c:v>
                </c:pt>
                <c:pt idx="3">
                  <c:v>42227</c:v>
                </c:pt>
                <c:pt idx="4">
                  <c:v>42325</c:v>
                </c:pt>
                <c:pt idx="5">
                  <c:v>41912</c:v>
                </c:pt>
                <c:pt idx="6">
                  <c:v>37655</c:v>
                </c:pt>
                <c:pt idx="7">
                  <c:v>37179</c:v>
                </c:pt>
                <c:pt idx="8">
                  <c:v>37323</c:v>
                </c:pt>
                <c:pt idx="9">
                  <c:v>37977</c:v>
                </c:pt>
                <c:pt idx="10">
                  <c:v>38170</c:v>
                </c:pt>
                <c:pt idx="11">
                  <c:v>37560</c:v>
                </c:pt>
                <c:pt idx="12">
                  <c:v>36951</c:v>
                </c:pt>
                <c:pt idx="13">
                  <c:v>42870</c:v>
                </c:pt>
                <c:pt idx="14">
                  <c:v>38016</c:v>
                </c:pt>
                <c:pt idx="15">
                  <c:v>42514</c:v>
                </c:pt>
                <c:pt idx="16">
                  <c:v>37029</c:v>
                </c:pt>
                <c:pt idx="17">
                  <c:v>37522</c:v>
                </c:pt>
                <c:pt idx="18">
                  <c:v>37096</c:v>
                </c:pt>
                <c:pt idx="19">
                  <c:v>37134</c:v>
                </c:pt>
                <c:pt idx="20">
                  <c:v>38201</c:v>
                </c:pt>
                <c:pt idx="21">
                  <c:v>41607</c:v>
                </c:pt>
                <c:pt idx="22">
                  <c:v>42723</c:v>
                </c:pt>
                <c:pt idx="23">
                  <c:v>42430</c:v>
                </c:pt>
                <c:pt idx="24">
                  <c:v>37932</c:v>
                </c:pt>
                <c:pt idx="25">
                  <c:v>38793</c:v>
                </c:pt>
                <c:pt idx="26">
                  <c:v>42391</c:v>
                </c:pt>
                <c:pt idx="27">
                  <c:v>37400</c:v>
                </c:pt>
                <c:pt idx="28">
                  <c:v>37680</c:v>
                </c:pt>
                <c:pt idx="29">
                  <c:v>38679</c:v>
                </c:pt>
                <c:pt idx="30">
                  <c:v>37225</c:v>
                </c:pt>
                <c:pt idx="31">
                  <c:v>38166</c:v>
                </c:pt>
                <c:pt idx="32">
                  <c:v>37232</c:v>
                </c:pt>
                <c:pt idx="33">
                  <c:v>37589</c:v>
                </c:pt>
                <c:pt idx="34">
                  <c:v>41715</c:v>
                </c:pt>
                <c:pt idx="35">
                  <c:v>42851</c:v>
                </c:pt>
                <c:pt idx="36">
                  <c:v>41935</c:v>
                </c:pt>
                <c:pt idx="37">
                  <c:v>41988</c:v>
                </c:pt>
                <c:pt idx="38">
                  <c:v>37497</c:v>
                </c:pt>
                <c:pt idx="39">
                  <c:v>40690</c:v>
                </c:pt>
                <c:pt idx="40">
                  <c:v>42397</c:v>
                </c:pt>
                <c:pt idx="41">
                  <c:v>42436</c:v>
                </c:pt>
                <c:pt idx="42">
                  <c:v>37242</c:v>
                </c:pt>
                <c:pt idx="43">
                  <c:v>37186</c:v>
                </c:pt>
                <c:pt idx="44">
                  <c:v>40102</c:v>
                </c:pt>
                <c:pt idx="45">
                  <c:v>40359</c:v>
                </c:pt>
                <c:pt idx="46">
                  <c:v>37937</c:v>
                </c:pt>
                <c:pt idx="47">
                  <c:v>39374</c:v>
                </c:pt>
                <c:pt idx="48">
                  <c:v>39500</c:v>
                </c:pt>
                <c:pt idx="49">
                  <c:v>42684</c:v>
                </c:pt>
                <c:pt idx="50">
                  <c:v>38894</c:v>
                </c:pt>
                <c:pt idx="51">
                  <c:v>37213</c:v>
                </c:pt>
                <c:pt idx="52">
                  <c:v>40512</c:v>
                </c:pt>
                <c:pt idx="53">
                  <c:v>42741</c:v>
                </c:pt>
                <c:pt idx="54">
                  <c:v>40198</c:v>
                </c:pt>
                <c:pt idx="55">
                  <c:v>40592</c:v>
                </c:pt>
                <c:pt idx="56">
                  <c:v>38337</c:v>
                </c:pt>
                <c:pt idx="57">
                  <c:v>39294</c:v>
                </c:pt>
                <c:pt idx="58">
                  <c:v>41981</c:v>
                </c:pt>
                <c:pt idx="59">
                  <c:v>36965</c:v>
                </c:pt>
                <c:pt idx="60">
                  <c:v>37468</c:v>
                </c:pt>
                <c:pt idx="61">
                  <c:v>37866</c:v>
                </c:pt>
                <c:pt idx="62">
                  <c:v>37771</c:v>
                </c:pt>
                <c:pt idx="63">
                  <c:v>37771</c:v>
                </c:pt>
                <c:pt idx="64">
                  <c:v>39000</c:v>
                </c:pt>
                <c:pt idx="65">
                  <c:v>40718</c:v>
                </c:pt>
                <c:pt idx="66">
                  <c:v>41892</c:v>
                </c:pt>
                <c:pt idx="67">
                  <c:v>42284</c:v>
                </c:pt>
                <c:pt idx="68">
                  <c:v>38344</c:v>
                </c:pt>
                <c:pt idx="69">
                  <c:v>41549</c:v>
                </c:pt>
                <c:pt idx="70">
                  <c:v>42419</c:v>
                </c:pt>
                <c:pt idx="71">
                  <c:v>41403</c:v>
                </c:pt>
                <c:pt idx="72">
                  <c:v>42459</c:v>
                </c:pt>
                <c:pt idx="73">
                  <c:v>38980</c:v>
                </c:pt>
                <c:pt idx="74">
                  <c:v>42692</c:v>
                </c:pt>
                <c:pt idx="75">
                  <c:v>42339</c:v>
                </c:pt>
                <c:pt idx="76">
                  <c:v>39392</c:v>
                </c:pt>
                <c:pt idx="77">
                  <c:v>40025</c:v>
                </c:pt>
                <c:pt idx="78">
                  <c:v>37231</c:v>
                </c:pt>
                <c:pt idx="79">
                  <c:v>36971</c:v>
                </c:pt>
                <c:pt idx="80">
                  <c:v>40624</c:v>
                </c:pt>
                <c:pt idx="81">
                  <c:v>38377</c:v>
                </c:pt>
                <c:pt idx="82">
                  <c:v>37141</c:v>
                </c:pt>
                <c:pt idx="83">
                  <c:v>38657</c:v>
                </c:pt>
                <c:pt idx="84">
                  <c:v>40847</c:v>
                </c:pt>
                <c:pt idx="85">
                  <c:v>42307</c:v>
                </c:pt>
                <c:pt idx="86">
                  <c:v>41982</c:v>
                </c:pt>
                <c:pt idx="87">
                  <c:v>37529</c:v>
                </c:pt>
                <c:pt idx="88">
                  <c:v>37588</c:v>
                </c:pt>
                <c:pt idx="89">
                  <c:v>38292</c:v>
                </c:pt>
                <c:pt idx="90">
                  <c:v>40154</c:v>
                </c:pt>
                <c:pt idx="91">
                  <c:v>40842</c:v>
                </c:pt>
                <c:pt idx="92">
                  <c:v>42296</c:v>
                </c:pt>
                <c:pt idx="93">
                  <c:v>41985</c:v>
                </c:pt>
                <c:pt idx="94">
                  <c:v>37365</c:v>
                </c:pt>
                <c:pt idx="95">
                  <c:v>38037</c:v>
                </c:pt>
                <c:pt idx="96">
                  <c:v>39660</c:v>
                </c:pt>
                <c:pt idx="97">
                  <c:v>39743</c:v>
                </c:pt>
                <c:pt idx="98">
                  <c:v>40018</c:v>
                </c:pt>
                <c:pt idx="99">
                  <c:v>42317</c:v>
                </c:pt>
                <c:pt idx="100">
                  <c:v>41108</c:v>
                </c:pt>
                <c:pt idx="101">
                  <c:v>41710</c:v>
                </c:pt>
                <c:pt idx="102">
                  <c:v>41906</c:v>
                </c:pt>
                <c:pt idx="103">
                  <c:v>42830</c:v>
                </c:pt>
                <c:pt idx="104">
                  <c:v>38238</c:v>
                </c:pt>
                <c:pt idx="105">
                  <c:v>39063</c:v>
                </c:pt>
                <c:pt idx="106">
                  <c:v>40073</c:v>
                </c:pt>
                <c:pt idx="107">
                  <c:v>41597</c:v>
                </c:pt>
                <c:pt idx="108">
                  <c:v>42845</c:v>
                </c:pt>
                <c:pt idx="109">
                  <c:v>40480</c:v>
                </c:pt>
                <c:pt idx="110">
                  <c:v>40550</c:v>
                </c:pt>
                <c:pt idx="111">
                  <c:v>39328</c:v>
                </c:pt>
                <c:pt idx="112">
                  <c:v>42326</c:v>
                </c:pt>
                <c:pt idx="113">
                  <c:v>38679</c:v>
                </c:pt>
                <c:pt idx="114">
                  <c:v>41870</c:v>
                </c:pt>
                <c:pt idx="115">
                  <c:v>37580</c:v>
                </c:pt>
                <c:pt idx="116">
                  <c:v>39101</c:v>
                </c:pt>
                <c:pt idx="117">
                  <c:v>37636</c:v>
                </c:pt>
                <c:pt idx="118">
                  <c:v>41382</c:v>
                </c:pt>
                <c:pt idx="119">
                  <c:v>37351</c:v>
                </c:pt>
                <c:pt idx="120">
                  <c:v>37764</c:v>
                </c:pt>
                <c:pt idx="121">
                  <c:v>37708</c:v>
                </c:pt>
                <c:pt idx="122">
                  <c:v>38184</c:v>
                </c:pt>
                <c:pt idx="123">
                  <c:v>38301</c:v>
                </c:pt>
                <c:pt idx="124">
                  <c:v>38475</c:v>
                </c:pt>
                <c:pt idx="125">
                  <c:v>38657</c:v>
                </c:pt>
                <c:pt idx="126">
                  <c:v>39373</c:v>
                </c:pt>
                <c:pt idx="127">
                  <c:v>39170</c:v>
                </c:pt>
                <c:pt idx="128">
                  <c:v>41229</c:v>
                </c:pt>
                <c:pt idx="129">
                  <c:v>40920</c:v>
                </c:pt>
                <c:pt idx="130">
                  <c:v>39414</c:v>
                </c:pt>
                <c:pt idx="131">
                  <c:v>42347</c:v>
                </c:pt>
                <c:pt idx="132">
                  <c:v>42824</c:v>
                </c:pt>
                <c:pt idx="133">
                  <c:v>36945</c:v>
                </c:pt>
                <c:pt idx="134">
                  <c:v>37925</c:v>
                </c:pt>
                <c:pt idx="135">
                  <c:v>39120</c:v>
                </c:pt>
                <c:pt idx="136">
                  <c:v>41768</c:v>
                </c:pt>
                <c:pt idx="137">
                  <c:v>42125</c:v>
                </c:pt>
                <c:pt idx="138">
                  <c:v>39013</c:v>
                </c:pt>
                <c:pt idx="139">
                  <c:v>39038</c:v>
                </c:pt>
                <c:pt idx="140">
                  <c:v>39479</c:v>
                </c:pt>
                <c:pt idx="141">
                  <c:v>41369</c:v>
                </c:pt>
                <c:pt idx="142">
                  <c:v>42243</c:v>
                </c:pt>
                <c:pt idx="143">
                  <c:v>37610</c:v>
                </c:pt>
                <c:pt idx="144">
                  <c:v>38426</c:v>
                </c:pt>
                <c:pt idx="145">
                  <c:v>38660</c:v>
                </c:pt>
                <c:pt idx="146">
                  <c:v>42555</c:v>
                </c:pt>
                <c:pt idx="147">
                  <c:v>38951</c:v>
                </c:pt>
                <c:pt idx="148">
                  <c:v>38238</c:v>
                </c:pt>
                <c:pt idx="149">
                  <c:v>38939</c:v>
                </c:pt>
                <c:pt idx="150">
                  <c:v>42010</c:v>
                </c:pt>
                <c:pt idx="151">
                  <c:v>42825</c:v>
                </c:pt>
                <c:pt idx="152">
                  <c:v>38782</c:v>
                </c:pt>
                <c:pt idx="153">
                  <c:v>39150</c:v>
                </c:pt>
                <c:pt idx="154">
                  <c:v>39542</c:v>
                </c:pt>
                <c:pt idx="155">
                  <c:v>42452</c:v>
                </c:pt>
                <c:pt idx="156">
                  <c:v>38657</c:v>
                </c:pt>
                <c:pt idx="157">
                  <c:v>37412</c:v>
                </c:pt>
                <c:pt idx="158">
                  <c:v>37950</c:v>
                </c:pt>
                <c:pt idx="159">
                  <c:v>40382</c:v>
                </c:pt>
                <c:pt idx="160">
                  <c:v>37974</c:v>
                </c:pt>
                <c:pt idx="161">
                  <c:v>40403</c:v>
                </c:pt>
                <c:pt idx="162">
                  <c:v>42443</c:v>
                </c:pt>
                <c:pt idx="163">
                  <c:v>41607</c:v>
                </c:pt>
                <c:pt idx="164">
                  <c:v>42248</c:v>
                </c:pt>
                <c:pt idx="165">
                  <c:v>42626</c:v>
                </c:pt>
                <c:pt idx="166">
                  <c:v>39902</c:v>
                </c:pt>
                <c:pt idx="167">
                  <c:v>40819</c:v>
                </c:pt>
                <c:pt idx="168">
                  <c:v>42300</c:v>
                </c:pt>
                <c:pt idx="169">
                  <c:v>38027</c:v>
                </c:pt>
                <c:pt idx="170">
                  <c:v>38009</c:v>
                </c:pt>
                <c:pt idx="171">
                  <c:v>39927</c:v>
                </c:pt>
                <c:pt idx="172">
                  <c:v>41127</c:v>
                </c:pt>
                <c:pt idx="173">
                  <c:v>41957</c:v>
                </c:pt>
                <c:pt idx="174">
                  <c:v>42825</c:v>
                </c:pt>
                <c:pt idx="175">
                  <c:v>37196</c:v>
                </c:pt>
                <c:pt idx="176">
                  <c:v>38156</c:v>
                </c:pt>
                <c:pt idx="177">
                  <c:v>41108</c:v>
                </c:pt>
                <c:pt idx="178">
                  <c:v>37840</c:v>
                </c:pt>
                <c:pt idx="179">
                  <c:v>38027</c:v>
                </c:pt>
                <c:pt idx="180">
                  <c:v>39066</c:v>
                </c:pt>
                <c:pt idx="181">
                  <c:v>39877</c:v>
                </c:pt>
                <c:pt idx="182">
                  <c:v>40634</c:v>
                </c:pt>
                <c:pt idx="183">
                  <c:v>41206</c:v>
                </c:pt>
                <c:pt idx="184">
                  <c:v>38321</c:v>
                </c:pt>
                <c:pt idx="185">
                  <c:v>38660</c:v>
                </c:pt>
                <c:pt idx="186">
                  <c:v>41138</c:v>
                </c:pt>
                <c:pt idx="187">
                  <c:v>42146</c:v>
                </c:pt>
                <c:pt idx="188">
                  <c:v>38036</c:v>
                </c:pt>
                <c:pt idx="189">
                  <c:v>42723</c:v>
                </c:pt>
                <c:pt idx="190">
                  <c:v>38623</c:v>
                </c:pt>
                <c:pt idx="191">
                  <c:v>40625</c:v>
                </c:pt>
                <c:pt idx="192">
                  <c:v>42192</c:v>
                </c:pt>
                <c:pt idx="193">
                  <c:v>42628</c:v>
                </c:pt>
                <c:pt idx="194">
                  <c:v>42887</c:v>
                </c:pt>
                <c:pt idx="195">
                  <c:v>37196</c:v>
                </c:pt>
                <c:pt idx="196">
                  <c:v>39192</c:v>
                </c:pt>
                <c:pt idx="197">
                  <c:v>39337</c:v>
                </c:pt>
                <c:pt idx="198">
                  <c:v>37890</c:v>
                </c:pt>
                <c:pt idx="199">
                  <c:v>39101</c:v>
                </c:pt>
                <c:pt idx="200">
                  <c:v>40717</c:v>
                </c:pt>
                <c:pt idx="201">
                  <c:v>41955</c:v>
                </c:pt>
                <c:pt idx="202">
                  <c:v>42628</c:v>
                </c:pt>
                <c:pt idx="203">
                  <c:v>42628</c:v>
                </c:pt>
                <c:pt idx="204">
                  <c:v>38657</c:v>
                </c:pt>
                <c:pt idx="205">
                  <c:v>40445</c:v>
                </c:pt>
                <c:pt idx="206">
                  <c:v>42801</c:v>
                </c:pt>
                <c:pt idx="207">
                  <c:v>41418</c:v>
                </c:pt>
                <c:pt idx="208">
                  <c:v>37928</c:v>
                </c:pt>
                <c:pt idx="209">
                  <c:v>38730</c:v>
                </c:pt>
                <c:pt idx="210">
                  <c:v>40948</c:v>
                </c:pt>
                <c:pt idx="211">
                  <c:v>41565</c:v>
                </c:pt>
                <c:pt idx="212">
                  <c:v>42697</c:v>
                </c:pt>
                <c:pt idx="213">
                  <c:v>42167</c:v>
                </c:pt>
                <c:pt idx="214">
                  <c:v>41198</c:v>
                </c:pt>
                <c:pt idx="215">
                  <c:v>41152</c:v>
                </c:pt>
                <c:pt idx="216">
                  <c:v>39381</c:v>
                </c:pt>
                <c:pt idx="217">
                  <c:v>42453</c:v>
                </c:pt>
                <c:pt idx="218">
                  <c:v>42391</c:v>
                </c:pt>
                <c:pt idx="219">
                  <c:v>41915</c:v>
                </c:pt>
                <c:pt idx="220">
                  <c:v>37840</c:v>
                </c:pt>
                <c:pt idx="221">
                  <c:v>40847</c:v>
                </c:pt>
                <c:pt idx="222">
                  <c:v>41234</c:v>
                </c:pt>
                <c:pt idx="223">
                  <c:v>38806</c:v>
                </c:pt>
                <c:pt idx="224">
                  <c:v>39637</c:v>
                </c:pt>
                <c:pt idx="225">
                  <c:v>37609</c:v>
                </c:pt>
                <c:pt idx="226">
                  <c:v>42349</c:v>
                </c:pt>
                <c:pt idx="227">
                  <c:v>41803</c:v>
                </c:pt>
                <c:pt idx="228">
                  <c:v>37652</c:v>
                </c:pt>
                <c:pt idx="229">
                  <c:v>38337</c:v>
                </c:pt>
                <c:pt idx="230">
                  <c:v>38329</c:v>
                </c:pt>
                <c:pt idx="231">
                  <c:v>38027</c:v>
                </c:pt>
                <c:pt idx="232">
                  <c:v>42724</c:v>
                </c:pt>
                <c:pt idx="233">
                  <c:v>38625</c:v>
                </c:pt>
                <c:pt idx="234">
                  <c:v>38338</c:v>
                </c:pt>
                <c:pt idx="235">
                  <c:v>42326</c:v>
                </c:pt>
                <c:pt idx="236">
                  <c:v>42789</c:v>
                </c:pt>
                <c:pt idx="237">
                  <c:v>40378</c:v>
                </c:pt>
                <c:pt idx="238">
                  <c:v>42634</c:v>
                </c:pt>
                <c:pt idx="239">
                  <c:v>37894</c:v>
                </c:pt>
                <c:pt idx="240">
                  <c:v>39056</c:v>
                </c:pt>
                <c:pt idx="241">
                  <c:v>40772</c:v>
                </c:pt>
                <c:pt idx="242">
                  <c:v>37967</c:v>
                </c:pt>
                <c:pt idx="243">
                  <c:v>37943</c:v>
                </c:pt>
                <c:pt idx="244">
                  <c:v>39022</c:v>
                </c:pt>
                <c:pt idx="245">
                  <c:v>39462</c:v>
                </c:pt>
                <c:pt idx="246">
                  <c:v>40393</c:v>
                </c:pt>
                <c:pt idx="247">
                  <c:v>40711</c:v>
                </c:pt>
                <c:pt idx="248">
                  <c:v>37776</c:v>
                </c:pt>
                <c:pt idx="249">
                  <c:v>39113</c:v>
                </c:pt>
                <c:pt idx="250">
                  <c:v>39386</c:v>
                </c:pt>
                <c:pt idx="251">
                  <c:v>42741</c:v>
                </c:pt>
                <c:pt idx="252">
                  <c:v>42458</c:v>
                </c:pt>
                <c:pt idx="253">
                  <c:v>38728</c:v>
                </c:pt>
                <c:pt idx="254">
                  <c:v>38993</c:v>
                </c:pt>
                <c:pt idx="255">
                  <c:v>38989</c:v>
                </c:pt>
                <c:pt idx="256">
                  <c:v>42515</c:v>
                </c:pt>
                <c:pt idx="257">
                  <c:v>38597</c:v>
                </c:pt>
                <c:pt idx="258">
                  <c:v>40947</c:v>
                </c:pt>
                <c:pt idx="259">
                  <c:v>42660</c:v>
                </c:pt>
                <c:pt idx="260">
                  <c:v>37813</c:v>
                </c:pt>
                <c:pt idx="261">
                  <c:v>39394</c:v>
                </c:pt>
                <c:pt idx="262">
                  <c:v>39871</c:v>
                </c:pt>
                <c:pt idx="263">
                  <c:v>41936</c:v>
                </c:pt>
                <c:pt idx="264">
                  <c:v>41810</c:v>
                </c:pt>
                <c:pt idx="265">
                  <c:v>41955</c:v>
                </c:pt>
                <c:pt idx="266">
                  <c:v>39038</c:v>
                </c:pt>
                <c:pt idx="267">
                  <c:v>37567</c:v>
                </c:pt>
                <c:pt idx="268">
                  <c:v>38729</c:v>
                </c:pt>
                <c:pt idx="269">
                  <c:v>42440</c:v>
                </c:pt>
                <c:pt idx="270">
                  <c:v>39031</c:v>
                </c:pt>
                <c:pt idx="271">
                  <c:v>40074</c:v>
                </c:pt>
                <c:pt idx="272">
                  <c:v>42678</c:v>
                </c:pt>
                <c:pt idx="273">
                  <c:v>38861</c:v>
                </c:pt>
                <c:pt idx="274">
                  <c:v>38211</c:v>
                </c:pt>
                <c:pt idx="275">
                  <c:v>38545</c:v>
                </c:pt>
                <c:pt idx="276">
                  <c:v>39146</c:v>
                </c:pt>
                <c:pt idx="277">
                  <c:v>39853</c:v>
                </c:pt>
                <c:pt idx="278">
                  <c:v>40814</c:v>
                </c:pt>
                <c:pt idx="279">
                  <c:v>41361</c:v>
                </c:pt>
                <c:pt idx="280">
                  <c:v>42167</c:v>
                </c:pt>
                <c:pt idx="281">
                  <c:v>37785</c:v>
                </c:pt>
                <c:pt idx="282">
                  <c:v>40457</c:v>
                </c:pt>
                <c:pt idx="283">
                  <c:v>41502</c:v>
                </c:pt>
                <c:pt idx="284">
                  <c:v>38999</c:v>
                </c:pt>
                <c:pt idx="285">
                  <c:v>40774</c:v>
                </c:pt>
                <c:pt idx="286">
                  <c:v>37628</c:v>
                </c:pt>
                <c:pt idx="287">
                  <c:v>38016</c:v>
                </c:pt>
                <c:pt idx="288">
                  <c:v>39020</c:v>
                </c:pt>
                <c:pt idx="289">
                  <c:v>37771</c:v>
                </c:pt>
                <c:pt idx="290">
                  <c:v>41971</c:v>
                </c:pt>
                <c:pt idx="291">
                  <c:v>39853</c:v>
                </c:pt>
                <c:pt idx="292">
                  <c:v>39324</c:v>
                </c:pt>
                <c:pt idx="293">
                  <c:v>38807</c:v>
                </c:pt>
                <c:pt idx="294">
                  <c:v>39142</c:v>
                </c:pt>
                <c:pt idx="295">
                  <c:v>41556</c:v>
                </c:pt>
                <c:pt idx="296">
                  <c:v>39511</c:v>
                </c:pt>
                <c:pt idx="297">
                  <c:v>42752</c:v>
                </c:pt>
                <c:pt idx="298">
                  <c:v>40480</c:v>
                </c:pt>
                <c:pt idx="299">
                  <c:v>39997</c:v>
                </c:pt>
                <c:pt idx="300">
                  <c:v>42719</c:v>
                </c:pt>
                <c:pt idx="301">
                  <c:v>42702</c:v>
                </c:pt>
                <c:pt idx="302">
                  <c:v>40653</c:v>
                </c:pt>
                <c:pt idx="303">
                  <c:v>40935</c:v>
                </c:pt>
                <c:pt idx="304">
                  <c:v>39036</c:v>
                </c:pt>
                <c:pt idx="305">
                  <c:v>39997</c:v>
                </c:pt>
                <c:pt idx="306">
                  <c:v>42460</c:v>
                </c:pt>
                <c:pt idx="307">
                  <c:v>42872</c:v>
                </c:pt>
                <c:pt idx="308">
                  <c:v>39374</c:v>
                </c:pt>
                <c:pt idx="309">
                  <c:v>42118</c:v>
                </c:pt>
              </c:numCache>
            </c:numRef>
          </c:xVal>
          <c:yVal>
            <c:numRef>
              <c:f>data!$C$2:$C$311</c:f>
              <c:numCache>
                <c:formatCode>General</c:formatCode>
                <c:ptCount val="310"/>
                <c:pt idx="0">
                  <c:v>22500</c:v>
                </c:pt>
                <c:pt idx="1">
                  <c:v>31735</c:v>
                </c:pt>
                <c:pt idx="2">
                  <c:v>37725</c:v>
                </c:pt>
                <c:pt idx="3">
                  <c:v>39500</c:v>
                </c:pt>
                <c:pt idx="4">
                  <c:v>45000</c:v>
                </c:pt>
                <c:pt idx="5">
                  <c:v>62500</c:v>
                </c:pt>
                <c:pt idx="6">
                  <c:v>65000</c:v>
                </c:pt>
                <c:pt idx="7">
                  <c:v>80000</c:v>
                </c:pt>
                <c:pt idx="8">
                  <c:v>80000</c:v>
                </c:pt>
                <c:pt idx="9">
                  <c:v>80000</c:v>
                </c:pt>
                <c:pt idx="10">
                  <c:v>80000</c:v>
                </c:pt>
                <c:pt idx="11">
                  <c:v>90000</c:v>
                </c:pt>
                <c:pt idx="12">
                  <c:v>95000</c:v>
                </c:pt>
                <c:pt idx="13">
                  <c:v>95000</c:v>
                </c:pt>
                <c:pt idx="14">
                  <c:v>96500</c:v>
                </c:pt>
                <c:pt idx="15">
                  <c:v>100000</c:v>
                </c:pt>
                <c:pt idx="16">
                  <c:v>107500</c:v>
                </c:pt>
                <c:pt idx="17">
                  <c:v>110500</c:v>
                </c:pt>
                <c:pt idx="18">
                  <c:v>115000</c:v>
                </c:pt>
                <c:pt idx="19">
                  <c:v>118000</c:v>
                </c:pt>
                <c:pt idx="20">
                  <c:v>125000</c:v>
                </c:pt>
                <c:pt idx="21">
                  <c:v>125000</c:v>
                </c:pt>
                <c:pt idx="22">
                  <c:v>125000</c:v>
                </c:pt>
                <c:pt idx="23">
                  <c:v>125000</c:v>
                </c:pt>
                <c:pt idx="24">
                  <c:v>127500</c:v>
                </c:pt>
                <c:pt idx="25">
                  <c:v>148000</c:v>
                </c:pt>
                <c:pt idx="26">
                  <c:v>148500</c:v>
                </c:pt>
                <c:pt idx="27">
                  <c:v>150000</c:v>
                </c:pt>
                <c:pt idx="28">
                  <c:v>150000</c:v>
                </c:pt>
                <c:pt idx="29">
                  <c:v>158000</c:v>
                </c:pt>
                <c:pt idx="30">
                  <c:v>160000</c:v>
                </c:pt>
                <c:pt idx="31">
                  <c:v>160000</c:v>
                </c:pt>
                <c:pt idx="32">
                  <c:v>165000</c:v>
                </c:pt>
                <c:pt idx="33">
                  <c:v>165000</c:v>
                </c:pt>
                <c:pt idx="34">
                  <c:v>165000</c:v>
                </c:pt>
                <c:pt idx="35">
                  <c:v>165000</c:v>
                </c:pt>
                <c:pt idx="36">
                  <c:v>170000</c:v>
                </c:pt>
                <c:pt idx="37">
                  <c:v>173500</c:v>
                </c:pt>
                <c:pt idx="38">
                  <c:v>175000</c:v>
                </c:pt>
                <c:pt idx="39">
                  <c:v>175000</c:v>
                </c:pt>
                <c:pt idx="40">
                  <c:v>175000</c:v>
                </c:pt>
                <c:pt idx="41">
                  <c:v>178000</c:v>
                </c:pt>
                <c:pt idx="42">
                  <c:v>180000</c:v>
                </c:pt>
                <c:pt idx="43">
                  <c:v>180000</c:v>
                </c:pt>
                <c:pt idx="44">
                  <c:v>180000</c:v>
                </c:pt>
                <c:pt idx="45">
                  <c:v>183000</c:v>
                </c:pt>
                <c:pt idx="46">
                  <c:v>185000</c:v>
                </c:pt>
                <c:pt idx="47">
                  <c:v>185000</c:v>
                </c:pt>
                <c:pt idx="48">
                  <c:v>185000</c:v>
                </c:pt>
                <c:pt idx="49">
                  <c:v>185000</c:v>
                </c:pt>
                <c:pt idx="50">
                  <c:v>189950</c:v>
                </c:pt>
                <c:pt idx="51">
                  <c:v>190000</c:v>
                </c:pt>
                <c:pt idx="52">
                  <c:v>190000</c:v>
                </c:pt>
                <c:pt idx="53">
                  <c:v>190000</c:v>
                </c:pt>
                <c:pt idx="54">
                  <c:v>191000</c:v>
                </c:pt>
                <c:pt idx="55">
                  <c:v>194500</c:v>
                </c:pt>
                <c:pt idx="56">
                  <c:v>195000</c:v>
                </c:pt>
                <c:pt idx="57">
                  <c:v>195000</c:v>
                </c:pt>
                <c:pt idx="58">
                  <c:v>195000</c:v>
                </c:pt>
                <c:pt idx="59">
                  <c:v>200000</c:v>
                </c:pt>
                <c:pt idx="60">
                  <c:v>200000</c:v>
                </c:pt>
                <c:pt idx="61">
                  <c:v>200000</c:v>
                </c:pt>
                <c:pt idx="62">
                  <c:v>200000</c:v>
                </c:pt>
                <c:pt idx="63">
                  <c:v>200000</c:v>
                </c:pt>
                <c:pt idx="64">
                  <c:v>200000</c:v>
                </c:pt>
                <c:pt idx="65">
                  <c:v>200000</c:v>
                </c:pt>
                <c:pt idx="66">
                  <c:v>200000</c:v>
                </c:pt>
                <c:pt idx="67">
                  <c:v>200000</c:v>
                </c:pt>
                <c:pt idx="68">
                  <c:v>202500</c:v>
                </c:pt>
                <c:pt idx="69">
                  <c:v>205000</c:v>
                </c:pt>
                <c:pt idx="70">
                  <c:v>207000</c:v>
                </c:pt>
                <c:pt idx="71">
                  <c:v>208000</c:v>
                </c:pt>
                <c:pt idx="72">
                  <c:v>209000</c:v>
                </c:pt>
                <c:pt idx="73">
                  <c:v>210000</c:v>
                </c:pt>
                <c:pt idx="74">
                  <c:v>210000</c:v>
                </c:pt>
                <c:pt idx="75">
                  <c:v>211000</c:v>
                </c:pt>
                <c:pt idx="76">
                  <c:v>215000</c:v>
                </c:pt>
                <c:pt idx="77">
                  <c:v>215000</c:v>
                </c:pt>
                <c:pt idx="78">
                  <c:v>216000</c:v>
                </c:pt>
                <c:pt idx="79">
                  <c:v>217500</c:v>
                </c:pt>
                <c:pt idx="80">
                  <c:v>217500</c:v>
                </c:pt>
                <c:pt idx="81">
                  <c:v>218000</c:v>
                </c:pt>
                <c:pt idx="82">
                  <c:v>220000</c:v>
                </c:pt>
                <c:pt idx="83">
                  <c:v>220000</c:v>
                </c:pt>
                <c:pt idx="84">
                  <c:v>220000</c:v>
                </c:pt>
                <c:pt idx="85">
                  <c:v>221000</c:v>
                </c:pt>
                <c:pt idx="86">
                  <c:v>222500</c:v>
                </c:pt>
                <c:pt idx="87">
                  <c:v>225000</c:v>
                </c:pt>
                <c:pt idx="88">
                  <c:v>225000</c:v>
                </c:pt>
                <c:pt idx="89">
                  <c:v>225000</c:v>
                </c:pt>
                <c:pt idx="90">
                  <c:v>225000</c:v>
                </c:pt>
                <c:pt idx="91">
                  <c:v>225000</c:v>
                </c:pt>
                <c:pt idx="92">
                  <c:v>225000</c:v>
                </c:pt>
                <c:pt idx="93">
                  <c:v>228000</c:v>
                </c:pt>
                <c:pt idx="94">
                  <c:v>230000</c:v>
                </c:pt>
                <c:pt idx="95">
                  <c:v>230000</c:v>
                </c:pt>
                <c:pt idx="96">
                  <c:v>230000</c:v>
                </c:pt>
                <c:pt idx="97">
                  <c:v>230000</c:v>
                </c:pt>
                <c:pt idx="98">
                  <c:v>230000</c:v>
                </c:pt>
                <c:pt idx="99">
                  <c:v>230000</c:v>
                </c:pt>
                <c:pt idx="100">
                  <c:v>233500</c:v>
                </c:pt>
                <c:pt idx="101">
                  <c:v>235000</c:v>
                </c:pt>
                <c:pt idx="102">
                  <c:v>235000</c:v>
                </c:pt>
                <c:pt idx="103">
                  <c:v>235000</c:v>
                </c:pt>
                <c:pt idx="104">
                  <c:v>240000</c:v>
                </c:pt>
                <c:pt idx="105">
                  <c:v>240000</c:v>
                </c:pt>
                <c:pt idx="106">
                  <c:v>240000</c:v>
                </c:pt>
                <c:pt idx="107">
                  <c:v>240000</c:v>
                </c:pt>
                <c:pt idx="108">
                  <c:v>240000</c:v>
                </c:pt>
                <c:pt idx="109">
                  <c:v>242000</c:v>
                </c:pt>
                <c:pt idx="110">
                  <c:v>244601</c:v>
                </c:pt>
                <c:pt idx="111">
                  <c:v>245000</c:v>
                </c:pt>
                <c:pt idx="112">
                  <c:v>245000</c:v>
                </c:pt>
                <c:pt idx="113">
                  <c:v>247500</c:v>
                </c:pt>
                <c:pt idx="114">
                  <c:v>247500</c:v>
                </c:pt>
                <c:pt idx="115">
                  <c:v>248000</c:v>
                </c:pt>
                <c:pt idx="116">
                  <c:v>248000</c:v>
                </c:pt>
                <c:pt idx="117">
                  <c:v>249950</c:v>
                </c:pt>
                <c:pt idx="118">
                  <c:v>249950</c:v>
                </c:pt>
                <c:pt idx="119">
                  <c:v>250000</c:v>
                </c:pt>
                <c:pt idx="120">
                  <c:v>250000</c:v>
                </c:pt>
                <c:pt idx="121">
                  <c:v>250000</c:v>
                </c:pt>
                <c:pt idx="122">
                  <c:v>250000</c:v>
                </c:pt>
                <c:pt idx="123">
                  <c:v>250000</c:v>
                </c:pt>
                <c:pt idx="124">
                  <c:v>250000</c:v>
                </c:pt>
                <c:pt idx="125">
                  <c:v>250000</c:v>
                </c:pt>
                <c:pt idx="126">
                  <c:v>250000</c:v>
                </c:pt>
                <c:pt idx="127">
                  <c:v>250000</c:v>
                </c:pt>
                <c:pt idx="128">
                  <c:v>250000</c:v>
                </c:pt>
                <c:pt idx="129">
                  <c:v>250000</c:v>
                </c:pt>
                <c:pt idx="130">
                  <c:v>265000</c:v>
                </c:pt>
                <c:pt idx="131">
                  <c:v>265000</c:v>
                </c:pt>
                <c:pt idx="132">
                  <c:v>265000</c:v>
                </c:pt>
                <c:pt idx="133">
                  <c:v>270000</c:v>
                </c:pt>
                <c:pt idx="134">
                  <c:v>270000</c:v>
                </c:pt>
                <c:pt idx="135">
                  <c:v>270000</c:v>
                </c:pt>
                <c:pt idx="136">
                  <c:v>270000</c:v>
                </c:pt>
                <c:pt idx="137">
                  <c:v>270000</c:v>
                </c:pt>
                <c:pt idx="138">
                  <c:v>275000</c:v>
                </c:pt>
                <c:pt idx="139">
                  <c:v>275000</c:v>
                </c:pt>
                <c:pt idx="140">
                  <c:v>275000</c:v>
                </c:pt>
                <c:pt idx="141">
                  <c:v>275000</c:v>
                </c:pt>
                <c:pt idx="142">
                  <c:v>275000</c:v>
                </c:pt>
                <c:pt idx="143">
                  <c:v>280000</c:v>
                </c:pt>
                <c:pt idx="144">
                  <c:v>280000</c:v>
                </c:pt>
                <c:pt idx="145">
                  <c:v>280000</c:v>
                </c:pt>
                <c:pt idx="146">
                  <c:v>280000</c:v>
                </c:pt>
                <c:pt idx="147">
                  <c:v>285000</c:v>
                </c:pt>
                <c:pt idx="148">
                  <c:v>287500</c:v>
                </c:pt>
                <c:pt idx="149">
                  <c:v>287500</c:v>
                </c:pt>
                <c:pt idx="150">
                  <c:v>290000</c:v>
                </c:pt>
                <c:pt idx="151">
                  <c:v>290000</c:v>
                </c:pt>
                <c:pt idx="152">
                  <c:v>295000</c:v>
                </c:pt>
                <c:pt idx="153">
                  <c:v>295000</c:v>
                </c:pt>
                <c:pt idx="154">
                  <c:v>295000</c:v>
                </c:pt>
                <c:pt idx="155">
                  <c:v>295000</c:v>
                </c:pt>
                <c:pt idx="156">
                  <c:v>299500</c:v>
                </c:pt>
                <c:pt idx="157">
                  <c:v>300000</c:v>
                </c:pt>
                <c:pt idx="158">
                  <c:v>300000</c:v>
                </c:pt>
                <c:pt idx="159">
                  <c:v>300000</c:v>
                </c:pt>
                <c:pt idx="160">
                  <c:v>301250</c:v>
                </c:pt>
                <c:pt idx="161">
                  <c:v>305000</c:v>
                </c:pt>
                <c:pt idx="162">
                  <c:v>305000</c:v>
                </c:pt>
                <c:pt idx="163">
                  <c:v>310000</c:v>
                </c:pt>
                <c:pt idx="164">
                  <c:v>310000</c:v>
                </c:pt>
                <c:pt idx="165">
                  <c:v>310000</c:v>
                </c:pt>
                <c:pt idx="166">
                  <c:v>313000</c:v>
                </c:pt>
                <c:pt idx="167">
                  <c:v>315000</c:v>
                </c:pt>
                <c:pt idx="168">
                  <c:v>315000</c:v>
                </c:pt>
                <c:pt idx="169">
                  <c:v>320000</c:v>
                </c:pt>
                <c:pt idx="170">
                  <c:v>325000</c:v>
                </c:pt>
                <c:pt idx="171">
                  <c:v>325000</c:v>
                </c:pt>
                <c:pt idx="172">
                  <c:v>325000</c:v>
                </c:pt>
                <c:pt idx="173">
                  <c:v>325000</c:v>
                </c:pt>
                <c:pt idx="174">
                  <c:v>325000</c:v>
                </c:pt>
                <c:pt idx="175">
                  <c:v>330000</c:v>
                </c:pt>
                <c:pt idx="176">
                  <c:v>330000</c:v>
                </c:pt>
                <c:pt idx="177">
                  <c:v>330000</c:v>
                </c:pt>
                <c:pt idx="178">
                  <c:v>335000</c:v>
                </c:pt>
                <c:pt idx="179">
                  <c:v>335000</c:v>
                </c:pt>
                <c:pt idx="180">
                  <c:v>335000</c:v>
                </c:pt>
                <c:pt idx="181">
                  <c:v>335000</c:v>
                </c:pt>
                <c:pt idx="182">
                  <c:v>335000</c:v>
                </c:pt>
                <c:pt idx="183">
                  <c:v>335000</c:v>
                </c:pt>
                <c:pt idx="184">
                  <c:v>340000</c:v>
                </c:pt>
                <c:pt idx="185">
                  <c:v>340000</c:v>
                </c:pt>
                <c:pt idx="186">
                  <c:v>340000</c:v>
                </c:pt>
                <c:pt idx="187">
                  <c:v>340000</c:v>
                </c:pt>
                <c:pt idx="188">
                  <c:v>342000</c:v>
                </c:pt>
                <c:pt idx="189">
                  <c:v>342500</c:v>
                </c:pt>
                <c:pt idx="190">
                  <c:v>345000</c:v>
                </c:pt>
                <c:pt idx="191">
                  <c:v>345000</c:v>
                </c:pt>
                <c:pt idx="192">
                  <c:v>345000</c:v>
                </c:pt>
                <c:pt idx="193">
                  <c:v>345000</c:v>
                </c:pt>
                <c:pt idx="194">
                  <c:v>345000</c:v>
                </c:pt>
                <c:pt idx="195">
                  <c:v>350000</c:v>
                </c:pt>
                <c:pt idx="196">
                  <c:v>350000</c:v>
                </c:pt>
                <c:pt idx="197">
                  <c:v>350000</c:v>
                </c:pt>
                <c:pt idx="198">
                  <c:v>355000</c:v>
                </c:pt>
                <c:pt idx="199">
                  <c:v>355000</c:v>
                </c:pt>
                <c:pt idx="200">
                  <c:v>355000</c:v>
                </c:pt>
                <c:pt idx="201">
                  <c:v>355000</c:v>
                </c:pt>
                <c:pt idx="202">
                  <c:v>355000</c:v>
                </c:pt>
                <c:pt idx="203">
                  <c:v>355000</c:v>
                </c:pt>
                <c:pt idx="204">
                  <c:v>360000</c:v>
                </c:pt>
                <c:pt idx="205">
                  <c:v>360000</c:v>
                </c:pt>
                <c:pt idx="206">
                  <c:v>360000</c:v>
                </c:pt>
                <c:pt idx="207">
                  <c:v>362500</c:v>
                </c:pt>
                <c:pt idx="208">
                  <c:v>365000</c:v>
                </c:pt>
                <c:pt idx="209">
                  <c:v>365000</c:v>
                </c:pt>
                <c:pt idx="210">
                  <c:v>365000</c:v>
                </c:pt>
                <c:pt idx="211">
                  <c:v>367500</c:v>
                </c:pt>
                <c:pt idx="212">
                  <c:v>370000</c:v>
                </c:pt>
                <c:pt idx="213">
                  <c:v>373500</c:v>
                </c:pt>
                <c:pt idx="214">
                  <c:v>375000</c:v>
                </c:pt>
                <c:pt idx="215">
                  <c:v>377500</c:v>
                </c:pt>
                <c:pt idx="216">
                  <c:v>379000</c:v>
                </c:pt>
                <c:pt idx="217">
                  <c:v>380000</c:v>
                </c:pt>
                <c:pt idx="218">
                  <c:v>380000</c:v>
                </c:pt>
                <c:pt idx="219">
                  <c:v>381000</c:v>
                </c:pt>
                <c:pt idx="220">
                  <c:v>385000</c:v>
                </c:pt>
                <c:pt idx="221">
                  <c:v>385000</c:v>
                </c:pt>
                <c:pt idx="222">
                  <c:v>385000</c:v>
                </c:pt>
                <c:pt idx="223">
                  <c:v>390000</c:v>
                </c:pt>
                <c:pt idx="224">
                  <c:v>390000</c:v>
                </c:pt>
                <c:pt idx="225">
                  <c:v>395000</c:v>
                </c:pt>
                <c:pt idx="226">
                  <c:v>395000</c:v>
                </c:pt>
                <c:pt idx="227">
                  <c:v>399500</c:v>
                </c:pt>
                <c:pt idx="228">
                  <c:v>400000</c:v>
                </c:pt>
                <c:pt idx="229">
                  <c:v>400000</c:v>
                </c:pt>
                <c:pt idx="230">
                  <c:v>400000</c:v>
                </c:pt>
                <c:pt idx="231">
                  <c:v>400000</c:v>
                </c:pt>
                <c:pt idx="232">
                  <c:v>400000</c:v>
                </c:pt>
                <c:pt idx="233">
                  <c:v>401250</c:v>
                </c:pt>
                <c:pt idx="234">
                  <c:v>407500</c:v>
                </c:pt>
                <c:pt idx="235">
                  <c:v>410000</c:v>
                </c:pt>
                <c:pt idx="236">
                  <c:v>410000</c:v>
                </c:pt>
                <c:pt idx="237">
                  <c:v>415000</c:v>
                </c:pt>
                <c:pt idx="238">
                  <c:v>417500</c:v>
                </c:pt>
                <c:pt idx="239">
                  <c:v>418625</c:v>
                </c:pt>
                <c:pt idx="240">
                  <c:v>420000</c:v>
                </c:pt>
                <c:pt idx="241">
                  <c:v>420000</c:v>
                </c:pt>
                <c:pt idx="242">
                  <c:v>425000</c:v>
                </c:pt>
                <c:pt idx="243">
                  <c:v>425000</c:v>
                </c:pt>
                <c:pt idx="244">
                  <c:v>425000</c:v>
                </c:pt>
                <c:pt idx="245">
                  <c:v>425000</c:v>
                </c:pt>
                <c:pt idx="246">
                  <c:v>425000</c:v>
                </c:pt>
                <c:pt idx="247">
                  <c:v>425000</c:v>
                </c:pt>
                <c:pt idx="248">
                  <c:v>430000</c:v>
                </c:pt>
                <c:pt idx="249">
                  <c:v>430000</c:v>
                </c:pt>
                <c:pt idx="250">
                  <c:v>430000</c:v>
                </c:pt>
                <c:pt idx="251">
                  <c:v>430000</c:v>
                </c:pt>
                <c:pt idx="252">
                  <c:v>432500</c:v>
                </c:pt>
                <c:pt idx="253">
                  <c:v>435000</c:v>
                </c:pt>
                <c:pt idx="254">
                  <c:v>437500</c:v>
                </c:pt>
                <c:pt idx="255">
                  <c:v>439635</c:v>
                </c:pt>
                <c:pt idx="256">
                  <c:v>440000</c:v>
                </c:pt>
                <c:pt idx="257">
                  <c:v>445000</c:v>
                </c:pt>
                <c:pt idx="258">
                  <c:v>445000</c:v>
                </c:pt>
                <c:pt idx="259">
                  <c:v>445000</c:v>
                </c:pt>
                <c:pt idx="260">
                  <c:v>450000</c:v>
                </c:pt>
                <c:pt idx="261">
                  <c:v>450000</c:v>
                </c:pt>
                <c:pt idx="262">
                  <c:v>450000</c:v>
                </c:pt>
                <c:pt idx="263">
                  <c:v>458000</c:v>
                </c:pt>
                <c:pt idx="264">
                  <c:v>460000</c:v>
                </c:pt>
                <c:pt idx="265">
                  <c:v>460000</c:v>
                </c:pt>
                <c:pt idx="266">
                  <c:v>470000</c:v>
                </c:pt>
                <c:pt idx="267">
                  <c:v>475000</c:v>
                </c:pt>
                <c:pt idx="268">
                  <c:v>475000</c:v>
                </c:pt>
                <c:pt idx="269">
                  <c:v>475000</c:v>
                </c:pt>
                <c:pt idx="270">
                  <c:v>480000</c:v>
                </c:pt>
                <c:pt idx="271">
                  <c:v>480000</c:v>
                </c:pt>
                <c:pt idx="272">
                  <c:v>480000</c:v>
                </c:pt>
                <c:pt idx="273">
                  <c:v>485000</c:v>
                </c:pt>
                <c:pt idx="274">
                  <c:v>490000</c:v>
                </c:pt>
                <c:pt idx="275">
                  <c:v>490000</c:v>
                </c:pt>
                <c:pt idx="276">
                  <c:v>495000</c:v>
                </c:pt>
                <c:pt idx="277">
                  <c:v>495000</c:v>
                </c:pt>
                <c:pt idx="278">
                  <c:v>495000</c:v>
                </c:pt>
                <c:pt idx="279">
                  <c:v>495000</c:v>
                </c:pt>
                <c:pt idx="280">
                  <c:v>495000</c:v>
                </c:pt>
                <c:pt idx="281">
                  <c:v>499000</c:v>
                </c:pt>
                <c:pt idx="282">
                  <c:v>500000</c:v>
                </c:pt>
                <c:pt idx="283">
                  <c:v>500000</c:v>
                </c:pt>
                <c:pt idx="284">
                  <c:v>505000</c:v>
                </c:pt>
                <c:pt idx="285">
                  <c:v>515000</c:v>
                </c:pt>
                <c:pt idx="286">
                  <c:v>516000</c:v>
                </c:pt>
                <c:pt idx="287">
                  <c:v>533000</c:v>
                </c:pt>
                <c:pt idx="288">
                  <c:v>545000</c:v>
                </c:pt>
                <c:pt idx="289">
                  <c:v>550000</c:v>
                </c:pt>
                <c:pt idx="290">
                  <c:v>550000</c:v>
                </c:pt>
                <c:pt idx="291">
                  <c:v>555000</c:v>
                </c:pt>
                <c:pt idx="292">
                  <c:v>590000</c:v>
                </c:pt>
                <c:pt idx="293">
                  <c:v>600000</c:v>
                </c:pt>
                <c:pt idx="294">
                  <c:v>620000</c:v>
                </c:pt>
                <c:pt idx="295">
                  <c:v>625000</c:v>
                </c:pt>
                <c:pt idx="296">
                  <c:v>650000</c:v>
                </c:pt>
                <c:pt idx="297">
                  <c:v>655022</c:v>
                </c:pt>
                <c:pt idx="298">
                  <c:v>659000</c:v>
                </c:pt>
                <c:pt idx="299">
                  <c:v>700000</c:v>
                </c:pt>
                <c:pt idx="300">
                  <c:v>710000</c:v>
                </c:pt>
                <c:pt idx="301">
                  <c:v>715000</c:v>
                </c:pt>
                <c:pt idx="302">
                  <c:v>720000</c:v>
                </c:pt>
                <c:pt idx="303">
                  <c:v>735000</c:v>
                </c:pt>
                <c:pt idx="304">
                  <c:v>750000</c:v>
                </c:pt>
                <c:pt idx="305">
                  <c:v>760000</c:v>
                </c:pt>
                <c:pt idx="306">
                  <c:v>980000</c:v>
                </c:pt>
                <c:pt idx="307">
                  <c:v>1100000</c:v>
                </c:pt>
                <c:pt idx="308">
                  <c:v>1375000</c:v>
                </c:pt>
                <c:pt idx="309">
                  <c:v>1555496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BB-2649-BBD8-DE74CC6B6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559280"/>
        <c:axId val="949166064"/>
      </c:scatterChart>
      <c:valAx>
        <c:axId val="949559280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166064"/>
        <c:crosses val="autoZero"/>
        <c:crossBetween val="midCat"/>
      </c:valAx>
      <c:valAx>
        <c:axId val="94916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559280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%">
                <a:solidFill>
                  <a:schemeClr val="dk1">
                    <a:lumMod val="65%"/>
                    <a:lumOff val="35%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%"/>
              <a:t> of  houses prices in the Isle of Scilly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%">
              <a:solidFill>
                <a:schemeClr val="dk1">
                  <a:lumMod val="65%"/>
                  <a:lumOff val="35%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Classes!$K$1</c:f>
              <c:strCache>
                <c:ptCount val="1"/>
                <c:pt idx="0">
                  <c:v>Frequency</c:v>
                </c:pt>
              </c:strCache>
            </c:strRef>
          </c:tx>
          <c:spPr>
            <a:gradFill>
              <a:gsLst>
                <a:gs pos="0%">
                  <a:schemeClr val="accent1"/>
                </a:gs>
                <a:gs pos="100%">
                  <a:schemeClr val="accent1">
                    <a:lumMod val="84%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%" kx="-1200000" algn="bl" rotWithShape="0">
                <a:prstClr val="black">
                  <a:alpha val="20%"/>
                </a:prstClr>
              </a:outerShdw>
            </a:effectLst>
          </c:spPr>
          <c:invertIfNegative val="0"/>
          <c:dLbls>
            <c:delete val="1"/>
          </c:dLbls>
          <c:cat>
            <c:strRef>
              <c:f>Classes!$G$1:$G$34</c:f>
              <c:strCache>
                <c:ptCount val="34"/>
                <c:pt idx="0">
                  <c:v>Interval</c:v>
                </c:pt>
                <c:pt idx="1">
                  <c:v>0 - 49999</c:v>
                </c:pt>
                <c:pt idx="2">
                  <c:v>50000 - 99999</c:v>
                </c:pt>
                <c:pt idx="3">
                  <c:v>100000 - 149999</c:v>
                </c:pt>
                <c:pt idx="4">
                  <c:v>150000 - 199999</c:v>
                </c:pt>
                <c:pt idx="5">
                  <c:v>200000 - 249999</c:v>
                </c:pt>
                <c:pt idx="6">
                  <c:v>250000 - 299999</c:v>
                </c:pt>
                <c:pt idx="7">
                  <c:v>300000 - 349999</c:v>
                </c:pt>
                <c:pt idx="8">
                  <c:v>350000 - 399999</c:v>
                </c:pt>
                <c:pt idx="9">
                  <c:v>400000 - 449999</c:v>
                </c:pt>
                <c:pt idx="10">
                  <c:v>450000 - 499999</c:v>
                </c:pt>
                <c:pt idx="11">
                  <c:v>500000 - 549999</c:v>
                </c:pt>
                <c:pt idx="12">
                  <c:v>550000 - 599999</c:v>
                </c:pt>
                <c:pt idx="13">
                  <c:v>600000 - 649999</c:v>
                </c:pt>
                <c:pt idx="14">
                  <c:v>650000 - 699999</c:v>
                </c:pt>
                <c:pt idx="15">
                  <c:v>700000 - 749999</c:v>
                </c:pt>
                <c:pt idx="16">
                  <c:v>750000 - 799999</c:v>
                </c:pt>
                <c:pt idx="17">
                  <c:v>800000 - 849999</c:v>
                </c:pt>
                <c:pt idx="18">
                  <c:v>850000 - 899999</c:v>
                </c:pt>
                <c:pt idx="19">
                  <c:v>900000 - 949999</c:v>
                </c:pt>
                <c:pt idx="20">
                  <c:v>950000 - 999999</c:v>
                </c:pt>
                <c:pt idx="21">
                  <c:v>1000000 - 1049999</c:v>
                </c:pt>
                <c:pt idx="22">
                  <c:v>1050000 - 1099999</c:v>
                </c:pt>
                <c:pt idx="23">
                  <c:v>1100000 - 1149999</c:v>
                </c:pt>
                <c:pt idx="24">
                  <c:v>1150000 - 1199999</c:v>
                </c:pt>
                <c:pt idx="25">
                  <c:v>1200000 - 1249999</c:v>
                </c:pt>
                <c:pt idx="26">
                  <c:v>1250000 - 1299999</c:v>
                </c:pt>
                <c:pt idx="27">
                  <c:v>1300000 - 1349999</c:v>
                </c:pt>
                <c:pt idx="28">
                  <c:v>1350000 - 1399999</c:v>
                </c:pt>
                <c:pt idx="29">
                  <c:v>1400000 - 1449999</c:v>
                </c:pt>
                <c:pt idx="30">
                  <c:v>1450000 - 1499999</c:v>
                </c:pt>
                <c:pt idx="31">
                  <c:v>1500000 - 1549999</c:v>
                </c:pt>
                <c:pt idx="32">
                  <c:v>1550000 - 1599999</c:v>
                </c:pt>
                <c:pt idx="33">
                  <c:v>1600000 - 1649999</c:v>
                </c:pt>
              </c:strCache>
            </c:strRef>
          </c:cat>
          <c:val>
            <c:numRef>
              <c:f>Classes!$D$2:$D$53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0-B150-3242-8447-67BCA9C79B8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1990157200"/>
        <c:axId val="1205285551"/>
      </c:barChart>
      <c:catAx>
        <c:axId val="199015720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dk1">
                    <a:lumMod val="65%"/>
                    <a:lumOff val="35%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285551"/>
        <c:crosses val="autoZero"/>
        <c:auto val="1"/>
        <c:lblAlgn val="ctr"/>
        <c:lblOffset val="100"/>
        <c:noMultiLvlLbl val="0"/>
      </c:catAx>
      <c:valAx>
        <c:axId val="12052855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9015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%">
          <a:schemeClr val="lt1"/>
        </a:gs>
        <a:gs pos="68%">
          <a:schemeClr val="lt1">
            <a:lumMod val="85%"/>
          </a:schemeClr>
        </a:gs>
        <a:gs pos="100%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'Frequency'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Classes!$K$1</c:f>
              <c:strCache>
                <c:ptCount val="1"/>
                <c:pt idx="0">
                  <c:v>Frequency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Classes!$G$1:$G$34</c:f>
              <c:strCache>
                <c:ptCount val="34"/>
                <c:pt idx="0">
                  <c:v>Interval</c:v>
                </c:pt>
                <c:pt idx="1">
                  <c:v>0 - 49999</c:v>
                </c:pt>
                <c:pt idx="2">
                  <c:v>50000 - 99999</c:v>
                </c:pt>
                <c:pt idx="3">
                  <c:v>100000 - 149999</c:v>
                </c:pt>
                <c:pt idx="4">
                  <c:v>150000 - 199999</c:v>
                </c:pt>
                <c:pt idx="5">
                  <c:v>200000 - 249999</c:v>
                </c:pt>
                <c:pt idx="6">
                  <c:v>250000 - 299999</c:v>
                </c:pt>
                <c:pt idx="7">
                  <c:v>300000 - 349999</c:v>
                </c:pt>
                <c:pt idx="8">
                  <c:v>350000 - 399999</c:v>
                </c:pt>
                <c:pt idx="9">
                  <c:v>400000 - 449999</c:v>
                </c:pt>
                <c:pt idx="10">
                  <c:v>450000 - 499999</c:v>
                </c:pt>
                <c:pt idx="11">
                  <c:v>500000 - 549999</c:v>
                </c:pt>
                <c:pt idx="12">
                  <c:v>550000 - 599999</c:v>
                </c:pt>
                <c:pt idx="13">
                  <c:v>600000 - 649999</c:v>
                </c:pt>
                <c:pt idx="14">
                  <c:v>650000 - 699999</c:v>
                </c:pt>
                <c:pt idx="15">
                  <c:v>700000 - 749999</c:v>
                </c:pt>
                <c:pt idx="16">
                  <c:v>750000 - 799999</c:v>
                </c:pt>
                <c:pt idx="17">
                  <c:v>800000 - 849999</c:v>
                </c:pt>
                <c:pt idx="18">
                  <c:v>850000 - 899999</c:v>
                </c:pt>
                <c:pt idx="19">
                  <c:v>900000 - 949999</c:v>
                </c:pt>
                <c:pt idx="20">
                  <c:v>950000 - 999999</c:v>
                </c:pt>
                <c:pt idx="21">
                  <c:v>1000000 - 1049999</c:v>
                </c:pt>
                <c:pt idx="22">
                  <c:v>1050000 - 1099999</c:v>
                </c:pt>
                <c:pt idx="23">
                  <c:v>1100000 - 1149999</c:v>
                </c:pt>
                <c:pt idx="24">
                  <c:v>1150000 - 1199999</c:v>
                </c:pt>
                <c:pt idx="25">
                  <c:v>1200000 - 1249999</c:v>
                </c:pt>
                <c:pt idx="26">
                  <c:v>1250000 - 1299999</c:v>
                </c:pt>
                <c:pt idx="27">
                  <c:v>1300000 - 1349999</c:v>
                </c:pt>
                <c:pt idx="28">
                  <c:v>1350000 - 1399999</c:v>
                </c:pt>
                <c:pt idx="29">
                  <c:v>1400000 - 1449999</c:v>
                </c:pt>
                <c:pt idx="30">
                  <c:v>1450000 - 1499999</c:v>
                </c:pt>
                <c:pt idx="31">
                  <c:v>1500000 - 1549999</c:v>
                </c:pt>
                <c:pt idx="32">
                  <c:v>1550000 - 1599999</c:v>
                </c:pt>
                <c:pt idx="33">
                  <c:v>1600000 - 1649999</c:v>
                </c:pt>
              </c:strCache>
            </c:strRef>
          </c:cat>
          <c:val>
            <c:numRef>
              <c:f>Classes!$K$2:$K$35</c:f>
              <c:numCache>
                <c:formatCode>General</c:formatCode>
                <c:ptCount val="34"/>
                <c:pt idx="0">
                  <c:v>5</c:v>
                </c:pt>
                <c:pt idx="1">
                  <c:v>10</c:v>
                </c:pt>
                <c:pt idx="2">
                  <c:v>12</c:v>
                </c:pt>
                <c:pt idx="3">
                  <c:v>32</c:v>
                </c:pt>
                <c:pt idx="4">
                  <c:v>60</c:v>
                </c:pt>
                <c:pt idx="5">
                  <c:v>38</c:v>
                </c:pt>
                <c:pt idx="6">
                  <c:v>38</c:v>
                </c:pt>
                <c:pt idx="7">
                  <c:v>33</c:v>
                </c:pt>
                <c:pt idx="8">
                  <c:v>32</c:v>
                </c:pt>
                <c:pt idx="9">
                  <c:v>22</c:v>
                </c:pt>
                <c:pt idx="10">
                  <c:v>7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5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44-1943-8C6A-C5537C0E1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9659328"/>
        <c:axId val="837578832"/>
      </c:lineChart>
      <c:catAx>
        <c:axId val="84965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578832"/>
        <c:crosses val="autoZero"/>
        <c:auto val="1"/>
        <c:lblAlgn val="ctr"/>
        <c:lblOffset val="100"/>
        <c:noMultiLvlLbl val="0"/>
      </c:catAx>
      <c:valAx>
        <c:axId val="8375788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65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'Cumulative frequency'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Classes!$M$1</c:f>
              <c:strCache>
                <c:ptCount val="1"/>
                <c:pt idx="0">
                  <c:v>Cumulative 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Classes!$G$1:$G$34</c:f>
              <c:strCache>
                <c:ptCount val="34"/>
                <c:pt idx="0">
                  <c:v>Interval</c:v>
                </c:pt>
                <c:pt idx="1">
                  <c:v>0 - 49999</c:v>
                </c:pt>
                <c:pt idx="2">
                  <c:v>50000 - 99999</c:v>
                </c:pt>
                <c:pt idx="3">
                  <c:v>100000 - 149999</c:v>
                </c:pt>
                <c:pt idx="4">
                  <c:v>150000 - 199999</c:v>
                </c:pt>
                <c:pt idx="5">
                  <c:v>200000 - 249999</c:v>
                </c:pt>
                <c:pt idx="6">
                  <c:v>250000 - 299999</c:v>
                </c:pt>
                <c:pt idx="7">
                  <c:v>300000 - 349999</c:v>
                </c:pt>
                <c:pt idx="8">
                  <c:v>350000 - 399999</c:v>
                </c:pt>
                <c:pt idx="9">
                  <c:v>400000 - 449999</c:v>
                </c:pt>
                <c:pt idx="10">
                  <c:v>450000 - 499999</c:v>
                </c:pt>
                <c:pt idx="11">
                  <c:v>500000 - 549999</c:v>
                </c:pt>
                <c:pt idx="12">
                  <c:v>550000 - 599999</c:v>
                </c:pt>
                <c:pt idx="13">
                  <c:v>600000 - 649999</c:v>
                </c:pt>
                <c:pt idx="14">
                  <c:v>650000 - 699999</c:v>
                </c:pt>
                <c:pt idx="15">
                  <c:v>700000 - 749999</c:v>
                </c:pt>
                <c:pt idx="16">
                  <c:v>750000 - 799999</c:v>
                </c:pt>
                <c:pt idx="17">
                  <c:v>800000 - 849999</c:v>
                </c:pt>
                <c:pt idx="18">
                  <c:v>850000 - 899999</c:v>
                </c:pt>
                <c:pt idx="19">
                  <c:v>900000 - 949999</c:v>
                </c:pt>
                <c:pt idx="20">
                  <c:v>950000 - 999999</c:v>
                </c:pt>
                <c:pt idx="21">
                  <c:v>1000000 - 1049999</c:v>
                </c:pt>
                <c:pt idx="22">
                  <c:v>1050000 - 1099999</c:v>
                </c:pt>
                <c:pt idx="23">
                  <c:v>1100000 - 1149999</c:v>
                </c:pt>
                <c:pt idx="24">
                  <c:v>1150000 - 1199999</c:v>
                </c:pt>
                <c:pt idx="25">
                  <c:v>1200000 - 1249999</c:v>
                </c:pt>
                <c:pt idx="26">
                  <c:v>1250000 - 1299999</c:v>
                </c:pt>
                <c:pt idx="27">
                  <c:v>1300000 - 1349999</c:v>
                </c:pt>
                <c:pt idx="28">
                  <c:v>1350000 - 1399999</c:v>
                </c:pt>
                <c:pt idx="29">
                  <c:v>1400000 - 1449999</c:v>
                </c:pt>
                <c:pt idx="30">
                  <c:v>1450000 - 1499999</c:v>
                </c:pt>
                <c:pt idx="31">
                  <c:v>1500000 - 1549999</c:v>
                </c:pt>
                <c:pt idx="32">
                  <c:v>1550000 - 1599999</c:v>
                </c:pt>
                <c:pt idx="33">
                  <c:v>1600000 - 1649999</c:v>
                </c:pt>
              </c:strCache>
            </c:strRef>
          </c:cat>
          <c:val>
            <c:numRef>
              <c:f>Classes!$M$2:$M$34</c:f>
              <c:numCache>
                <c:formatCode>General</c:formatCode>
                <c:ptCount val="33"/>
                <c:pt idx="0">
                  <c:v>5</c:v>
                </c:pt>
                <c:pt idx="1">
                  <c:v>15</c:v>
                </c:pt>
                <c:pt idx="2">
                  <c:v>27</c:v>
                </c:pt>
                <c:pt idx="3">
                  <c:v>59</c:v>
                </c:pt>
                <c:pt idx="4">
                  <c:v>119</c:v>
                </c:pt>
                <c:pt idx="5">
                  <c:v>157</c:v>
                </c:pt>
                <c:pt idx="6">
                  <c:v>195</c:v>
                </c:pt>
                <c:pt idx="7">
                  <c:v>228</c:v>
                </c:pt>
                <c:pt idx="8">
                  <c:v>260</c:v>
                </c:pt>
                <c:pt idx="9">
                  <c:v>282</c:v>
                </c:pt>
                <c:pt idx="10">
                  <c:v>289</c:v>
                </c:pt>
                <c:pt idx="11">
                  <c:v>293</c:v>
                </c:pt>
                <c:pt idx="12">
                  <c:v>296</c:v>
                </c:pt>
                <c:pt idx="13">
                  <c:v>299</c:v>
                </c:pt>
                <c:pt idx="14">
                  <c:v>304</c:v>
                </c:pt>
                <c:pt idx="15">
                  <c:v>306</c:v>
                </c:pt>
                <c:pt idx="16">
                  <c:v>306</c:v>
                </c:pt>
                <c:pt idx="17">
                  <c:v>306</c:v>
                </c:pt>
                <c:pt idx="18">
                  <c:v>306</c:v>
                </c:pt>
                <c:pt idx="19">
                  <c:v>307</c:v>
                </c:pt>
                <c:pt idx="20">
                  <c:v>307</c:v>
                </c:pt>
                <c:pt idx="21">
                  <c:v>307</c:v>
                </c:pt>
                <c:pt idx="22">
                  <c:v>308</c:v>
                </c:pt>
                <c:pt idx="23">
                  <c:v>308</c:v>
                </c:pt>
                <c:pt idx="24">
                  <c:v>308</c:v>
                </c:pt>
                <c:pt idx="25">
                  <c:v>308</c:v>
                </c:pt>
                <c:pt idx="26">
                  <c:v>308</c:v>
                </c:pt>
                <c:pt idx="27">
                  <c:v>309</c:v>
                </c:pt>
                <c:pt idx="28">
                  <c:v>309</c:v>
                </c:pt>
                <c:pt idx="29">
                  <c:v>309</c:v>
                </c:pt>
                <c:pt idx="30">
                  <c:v>309</c:v>
                </c:pt>
                <c:pt idx="31">
                  <c:v>310</c:v>
                </c:pt>
                <c:pt idx="32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D-5544-8BAF-D28B7141E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00"/>
        <c:axId val="885438751"/>
        <c:axId val="885216511"/>
      </c:barChart>
      <c:catAx>
        <c:axId val="88543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216511"/>
        <c:crosses val="autoZero"/>
        <c:auto val="1"/>
        <c:lblAlgn val="ctr"/>
        <c:lblOffset val="100"/>
        <c:noMultiLvlLbl val="0"/>
      </c:catAx>
      <c:valAx>
        <c:axId val="88521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Cumulative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43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'Cumulative frequency'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Classes!$M$1</c:f>
              <c:strCache>
                <c:ptCount val="1"/>
                <c:pt idx="0">
                  <c:v>Cumulative frequency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Classes!$G$1:$G$34</c:f>
              <c:strCache>
                <c:ptCount val="34"/>
                <c:pt idx="0">
                  <c:v>Interval</c:v>
                </c:pt>
                <c:pt idx="1">
                  <c:v>0 - 49999</c:v>
                </c:pt>
                <c:pt idx="2">
                  <c:v>50000 - 99999</c:v>
                </c:pt>
                <c:pt idx="3">
                  <c:v>100000 - 149999</c:v>
                </c:pt>
                <c:pt idx="4">
                  <c:v>150000 - 199999</c:v>
                </c:pt>
                <c:pt idx="5">
                  <c:v>200000 - 249999</c:v>
                </c:pt>
                <c:pt idx="6">
                  <c:v>250000 - 299999</c:v>
                </c:pt>
                <c:pt idx="7">
                  <c:v>300000 - 349999</c:v>
                </c:pt>
                <c:pt idx="8">
                  <c:v>350000 - 399999</c:v>
                </c:pt>
                <c:pt idx="9">
                  <c:v>400000 - 449999</c:v>
                </c:pt>
                <c:pt idx="10">
                  <c:v>450000 - 499999</c:v>
                </c:pt>
                <c:pt idx="11">
                  <c:v>500000 - 549999</c:v>
                </c:pt>
                <c:pt idx="12">
                  <c:v>550000 - 599999</c:v>
                </c:pt>
                <c:pt idx="13">
                  <c:v>600000 - 649999</c:v>
                </c:pt>
                <c:pt idx="14">
                  <c:v>650000 - 699999</c:v>
                </c:pt>
                <c:pt idx="15">
                  <c:v>700000 - 749999</c:v>
                </c:pt>
                <c:pt idx="16">
                  <c:v>750000 - 799999</c:v>
                </c:pt>
                <c:pt idx="17">
                  <c:v>800000 - 849999</c:v>
                </c:pt>
                <c:pt idx="18">
                  <c:v>850000 - 899999</c:v>
                </c:pt>
                <c:pt idx="19">
                  <c:v>900000 - 949999</c:v>
                </c:pt>
                <c:pt idx="20">
                  <c:v>950000 - 999999</c:v>
                </c:pt>
                <c:pt idx="21">
                  <c:v>1000000 - 1049999</c:v>
                </c:pt>
                <c:pt idx="22">
                  <c:v>1050000 - 1099999</c:v>
                </c:pt>
                <c:pt idx="23">
                  <c:v>1100000 - 1149999</c:v>
                </c:pt>
                <c:pt idx="24">
                  <c:v>1150000 - 1199999</c:v>
                </c:pt>
                <c:pt idx="25">
                  <c:v>1200000 - 1249999</c:v>
                </c:pt>
                <c:pt idx="26">
                  <c:v>1250000 - 1299999</c:v>
                </c:pt>
                <c:pt idx="27">
                  <c:v>1300000 - 1349999</c:v>
                </c:pt>
                <c:pt idx="28">
                  <c:v>1350000 - 1399999</c:v>
                </c:pt>
                <c:pt idx="29">
                  <c:v>1400000 - 1449999</c:v>
                </c:pt>
                <c:pt idx="30">
                  <c:v>1450000 - 1499999</c:v>
                </c:pt>
                <c:pt idx="31">
                  <c:v>1500000 - 1549999</c:v>
                </c:pt>
                <c:pt idx="32">
                  <c:v>1550000 - 1599999</c:v>
                </c:pt>
                <c:pt idx="33">
                  <c:v>1600000 - 1649999</c:v>
                </c:pt>
              </c:strCache>
            </c:strRef>
          </c:cat>
          <c:val>
            <c:numRef>
              <c:f>Classes!$M$2:$M$34</c:f>
              <c:numCache>
                <c:formatCode>General</c:formatCode>
                <c:ptCount val="33"/>
                <c:pt idx="0">
                  <c:v>5</c:v>
                </c:pt>
                <c:pt idx="1">
                  <c:v>15</c:v>
                </c:pt>
                <c:pt idx="2">
                  <c:v>27</c:v>
                </c:pt>
                <c:pt idx="3">
                  <c:v>59</c:v>
                </c:pt>
                <c:pt idx="4">
                  <c:v>119</c:v>
                </c:pt>
                <c:pt idx="5">
                  <c:v>157</c:v>
                </c:pt>
                <c:pt idx="6">
                  <c:v>195</c:v>
                </c:pt>
                <c:pt idx="7">
                  <c:v>228</c:v>
                </c:pt>
                <c:pt idx="8">
                  <c:v>260</c:v>
                </c:pt>
                <c:pt idx="9">
                  <c:v>282</c:v>
                </c:pt>
                <c:pt idx="10">
                  <c:v>289</c:v>
                </c:pt>
                <c:pt idx="11">
                  <c:v>293</c:v>
                </c:pt>
                <c:pt idx="12">
                  <c:v>296</c:v>
                </c:pt>
                <c:pt idx="13">
                  <c:v>299</c:v>
                </c:pt>
                <c:pt idx="14">
                  <c:v>304</c:v>
                </c:pt>
                <c:pt idx="15">
                  <c:v>306</c:v>
                </c:pt>
                <c:pt idx="16">
                  <c:v>306</c:v>
                </c:pt>
                <c:pt idx="17">
                  <c:v>306</c:v>
                </c:pt>
                <c:pt idx="18">
                  <c:v>306</c:v>
                </c:pt>
                <c:pt idx="19">
                  <c:v>307</c:v>
                </c:pt>
                <c:pt idx="20">
                  <c:v>307</c:v>
                </c:pt>
                <c:pt idx="21">
                  <c:v>307</c:v>
                </c:pt>
                <c:pt idx="22">
                  <c:v>308</c:v>
                </c:pt>
                <c:pt idx="23">
                  <c:v>308</c:v>
                </c:pt>
                <c:pt idx="24">
                  <c:v>308</c:v>
                </c:pt>
                <c:pt idx="25">
                  <c:v>308</c:v>
                </c:pt>
                <c:pt idx="26">
                  <c:v>308</c:v>
                </c:pt>
                <c:pt idx="27">
                  <c:v>309</c:v>
                </c:pt>
                <c:pt idx="28">
                  <c:v>309</c:v>
                </c:pt>
                <c:pt idx="29">
                  <c:v>309</c:v>
                </c:pt>
                <c:pt idx="30">
                  <c:v>309</c:v>
                </c:pt>
                <c:pt idx="31">
                  <c:v>310</c:v>
                </c:pt>
                <c:pt idx="32">
                  <c:v>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24-5A40-A720-10541CB6B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9349040"/>
        <c:axId val="1024941728"/>
      </c:lineChart>
      <c:catAx>
        <c:axId val="101934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941728"/>
        <c:crosses val="autoZero"/>
        <c:auto val="1"/>
        <c:lblAlgn val="ctr"/>
        <c:lblOffset val="100"/>
        <c:noMultiLvlLbl val="0"/>
      </c:catAx>
      <c:valAx>
        <c:axId val="1024941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Cumulative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34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[islesofscilly.xlsx]Contigency tables!PivotTable1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'Contigency tables'!$B$1:$B$2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'Contigency tables'!$A$3:$A$20</c:f>
              <c:strCache>
                <c:ptCount val="17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</c:strCache>
            </c:strRef>
          </c:cat>
          <c:val>
            <c:numRef>
              <c:f>'Contigency tables'!$B$3:$B$20</c:f>
              <c:numCache>
                <c:formatCode>0.00%</c:formatCode>
                <c:ptCount val="17"/>
                <c:pt idx="0">
                  <c:v>0.22222222222222221</c:v>
                </c:pt>
                <c:pt idx="1">
                  <c:v>0.1875</c:v>
                </c:pt>
                <c:pt idx="2">
                  <c:v>0.35714285714285715</c:v>
                </c:pt>
                <c:pt idx="3">
                  <c:v>0.28000000000000003</c:v>
                </c:pt>
                <c:pt idx="4">
                  <c:v>6.6666666666666666E-2</c:v>
                </c:pt>
                <c:pt idx="5">
                  <c:v>0.30769230769230771</c:v>
                </c:pt>
                <c:pt idx="6">
                  <c:v>0.33333333333333331</c:v>
                </c:pt>
                <c:pt idx="7">
                  <c:v>0</c:v>
                </c:pt>
                <c:pt idx="8">
                  <c:v>0.14285714285714285</c:v>
                </c:pt>
                <c:pt idx="9">
                  <c:v>0.18181818181818182</c:v>
                </c:pt>
                <c:pt idx="10">
                  <c:v>0.17647058823529413</c:v>
                </c:pt>
                <c:pt idx="11">
                  <c:v>0.61538461538461542</c:v>
                </c:pt>
                <c:pt idx="12">
                  <c:v>0.16666666666666666</c:v>
                </c:pt>
                <c:pt idx="13">
                  <c:v>0.2</c:v>
                </c:pt>
                <c:pt idx="14">
                  <c:v>0.2857142857142857</c:v>
                </c:pt>
                <c:pt idx="15">
                  <c:v>0.12903225806451613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4-224D-9733-E68F9DC8D469}"/>
            </c:ext>
          </c:extLst>
        </c:ser>
        <c:ser>
          <c:idx val="1"/>
          <c:order val="1"/>
          <c:tx>
            <c:strRef>
              <c:f>'Contigency tables'!$C$1:$C$2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'Contigency tables'!$A$3:$A$20</c:f>
              <c:strCache>
                <c:ptCount val="17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</c:strCache>
            </c:strRef>
          </c:cat>
          <c:val>
            <c:numRef>
              <c:f>'Contigency tables'!$C$3:$C$20</c:f>
              <c:numCache>
                <c:formatCode>0.00%</c:formatCode>
                <c:ptCount val="17"/>
                <c:pt idx="0">
                  <c:v>0.44444444444444442</c:v>
                </c:pt>
                <c:pt idx="1">
                  <c:v>0.5625</c:v>
                </c:pt>
                <c:pt idx="2">
                  <c:v>0.35714285714285715</c:v>
                </c:pt>
                <c:pt idx="3">
                  <c:v>0.48</c:v>
                </c:pt>
                <c:pt idx="4">
                  <c:v>0.53333333333333333</c:v>
                </c:pt>
                <c:pt idx="5">
                  <c:v>0.38461538461538464</c:v>
                </c:pt>
                <c:pt idx="6">
                  <c:v>0.47619047619047616</c:v>
                </c:pt>
                <c:pt idx="7">
                  <c:v>0.625</c:v>
                </c:pt>
                <c:pt idx="8">
                  <c:v>0.2857142857142857</c:v>
                </c:pt>
                <c:pt idx="9">
                  <c:v>0.27272727272727271</c:v>
                </c:pt>
                <c:pt idx="10">
                  <c:v>0.29411764705882354</c:v>
                </c:pt>
                <c:pt idx="11">
                  <c:v>7.6923076923076927E-2</c:v>
                </c:pt>
                <c:pt idx="12">
                  <c:v>0.25</c:v>
                </c:pt>
                <c:pt idx="13">
                  <c:v>0.4</c:v>
                </c:pt>
                <c:pt idx="14">
                  <c:v>0.33333333333333331</c:v>
                </c:pt>
                <c:pt idx="15">
                  <c:v>0.41935483870967744</c:v>
                </c:pt>
                <c:pt idx="1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64-224D-9733-E68F9DC8D469}"/>
            </c:ext>
          </c:extLst>
        </c:ser>
        <c:ser>
          <c:idx val="2"/>
          <c:order val="2"/>
          <c:tx>
            <c:strRef>
              <c:f>'Contigency tables'!$D$1:$D$2</c:f>
              <c:strCache>
                <c:ptCount val="1"/>
                <c:pt idx="0">
                  <c:v>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'Contigency tables'!$A$3:$A$20</c:f>
              <c:strCache>
                <c:ptCount val="17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</c:strCache>
            </c:strRef>
          </c:cat>
          <c:val>
            <c:numRef>
              <c:f>'Contigency tables'!$D$3:$D$20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8.3333333333333329E-2</c:v>
                </c:pt>
                <c:pt idx="13">
                  <c:v>0.05</c:v>
                </c:pt>
                <c:pt idx="14">
                  <c:v>9.5238095238095233E-2</c:v>
                </c:pt>
                <c:pt idx="15">
                  <c:v>0.19354838709677419</c:v>
                </c:pt>
                <c:pt idx="16">
                  <c:v>0.21428571428571427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64-224D-9733-E68F9DC8D469}"/>
            </c:ext>
          </c:extLst>
        </c:ser>
        <c:ser>
          <c:idx val="3"/>
          <c:order val="3"/>
          <c:tx>
            <c:strRef>
              <c:f>'Contigency tables'!$E$1:$E$2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'Contigency tables'!$A$3:$A$20</c:f>
              <c:strCache>
                <c:ptCount val="17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</c:strCache>
            </c:strRef>
          </c:cat>
          <c:val>
            <c:numRef>
              <c:f>'Contigency tables'!$E$3:$E$20</c:f>
              <c:numCache>
                <c:formatCode>0.00%</c:formatCode>
                <c:ptCount val="17"/>
                <c:pt idx="0">
                  <c:v>0.1111111111111111</c:v>
                </c:pt>
                <c:pt idx="1">
                  <c:v>0.125</c:v>
                </c:pt>
                <c:pt idx="2">
                  <c:v>0.10714285714285714</c:v>
                </c:pt>
                <c:pt idx="3">
                  <c:v>0.08</c:v>
                </c:pt>
                <c:pt idx="4">
                  <c:v>0</c:v>
                </c:pt>
                <c:pt idx="5">
                  <c:v>0.15384615384615385</c:v>
                </c:pt>
                <c:pt idx="6">
                  <c:v>0</c:v>
                </c:pt>
                <c:pt idx="7">
                  <c:v>0.125</c:v>
                </c:pt>
                <c:pt idx="8">
                  <c:v>0</c:v>
                </c:pt>
                <c:pt idx="9">
                  <c:v>0.27272727272727271</c:v>
                </c:pt>
                <c:pt idx="10">
                  <c:v>0.11764705882352941</c:v>
                </c:pt>
                <c:pt idx="11">
                  <c:v>0</c:v>
                </c:pt>
                <c:pt idx="12">
                  <c:v>0.41666666666666669</c:v>
                </c:pt>
                <c:pt idx="13">
                  <c:v>0.15</c:v>
                </c:pt>
                <c:pt idx="14">
                  <c:v>9.5238095238095233E-2</c:v>
                </c:pt>
                <c:pt idx="15">
                  <c:v>9.6774193548387094E-2</c:v>
                </c:pt>
                <c:pt idx="16">
                  <c:v>0.21428571428571427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64-224D-9733-E68F9DC8D469}"/>
            </c:ext>
          </c:extLst>
        </c:ser>
        <c:ser>
          <c:idx val="4"/>
          <c:order val="4"/>
          <c:tx>
            <c:strRef>
              <c:f>'Contigency tables'!$F$1:$F$2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'Contigency tables'!$A$3:$A$20</c:f>
              <c:strCache>
                <c:ptCount val="17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</c:strCache>
            </c:strRef>
          </c:cat>
          <c:val>
            <c:numRef>
              <c:f>'Contigency tables'!$F$3:$F$20</c:f>
              <c:numCache>
                <c:formatCode>0.00%</c:formatCode>
                <c:ptCount val="17"/>
                <c:pt idx="0">
                  <c:v>0.22222222222222221</c:v>
                </c:pt>
                <c:pt idx="1">
                  <c:v>0.125</c:v>
                </c:pt>
                <c:pt idx="2">
                  <c:v>0.17857142857142858</c:v>
                </c:pt>
                <c:pt idx="3">
                  <c:v>0.16</c:v>
                </c:pt>
                <c:pt idx="4">
                  <c:v>0.4</c:v>
                </c:pt>
                <c:pt idx="5">
                  <c:v>0.15384615384615385</c:v>
                </c:pt>
                <c:pt idx="6">
                  <c:v>0.19047619047619047</c:v>
                </c:pt>
                <c:pt idx="7">
                  <c:v>0.25</c:v>
                </c:pt>
                <c:pt idx="8">
                  <c:v>0.5714285714285714</c:v>
                </c:pt>
                <c:pt idx="9">
                  <c:v>0.27272727272727271</c:v>
                </c:pt>
                <c:pt idx="10">
                  <c:v>0.41176470588235292</c:v>
                </c:pt>
                <c:pt idx="11">
                  <c:v>0.30769230769230771</c:v>
                </c:pt>
                <c:pt idx="12">
                  <c:v>8.3333333333333329E-2</c:v>
                </c:pt>
                <c:pt idx="13">
                  <c:v>0.2</c:v>
                </c:pt>
                <c:pt idx="14">
                  <c:v>0.19047619047619047</c:v>
                </c:pt>
                <c:pt idx="15">
                  <c:v>0.16129032258064516</c:v>
                </c:pt>
                <c:pt idx="16">
                  <c:v>7.1428571428571425E-2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64-224D-9733-E68F9DC8D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9583024"/>
        <c:axId val="1913145472"/>
      </c:barChart>
      <c:catAx>
        <c:axId val="97958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145472"/>
        <c:crosses val="autoZero"/>
        <c:auto val="1"/>
        <c:lblAlgn val="ctr"/>
        <c:lblOffset val="100"/>
        <c:noMultiLvlLbl val="0"/>
      </c:catAx>
      <c:valAx>
        <c:axId val="191314547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58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4">
  <cs:axisTitle>
    <cs:lnRef idx="0"/>
    <cs:fillRef idx="0"/>
    <cs:effectRef idx="0"/>
    <cs:fontRef idx="minor">
      <a:schemeClr val="dk1">
        <a:lumMod val="65%"/>
        <a:lumOff val="35%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%"/>
        <a:lumOff val="35%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%">
            <a:schemeClr val="lt1"/>
          </a:gs>
          <a:gs pos="68%">
            <a:schemeClr val="lt1">
              <a:lumMod val="85%"/>
            </a:schemeClr>
          </a:gs>
          <a:gs pos="100%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%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%"/>
          <a:lumOff val="35%"/>
          <a:alpha val="75%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%">
            <a:schemeClr val="phClr"/>
          </a:gs>
          <a:gs pos="100%">
            <a:schemeClr val="phClr">
              <a:lumMod val="84%"/>
            </a:schemeClr>
          </a:gs>
        </a:gsLst>
        <a:lin ang="5400000" scaled="1"/>
      </a:gradFill>
      <a:effectLst>
        <a:outerShdw blurRad="76200" dir="18900000" sy="23%" kx="-1200000" algn="bl" rotWithShape="0">
          <a:prstClr val="black">
            <a:alpha val="20%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%">
            <a:schemeClr val="phClr"/>
          </a:gs>
          <a:gs pos="100%">
            <a:schemeClr val="phClr">
              <a:lumMod val="84%"/>
            </a:schemeClr>
          </a:gs>
        </a:gsLst>
        <a:lin ang="5400000" scaled="1"/>
      </a:gradFill>
      <a:effectLst>
        <a:outerShdw blurRad="76200" dir="18900000" sy="23%" kx="-1200000" algn="bl" rotWithShape="0">
          <a:prstClr val="black">
            <a:alpha val="20%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%">
              <a:schemeClr val="phClr"/>
            </a:gs>
            <a:gs pos="100%">
              <a:schemeClr val="phClr">
                <a:lumMod val="84%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%">
            <a:schemeClr val="phClr"/>
          </a:gs>
          <a:gs pos="100%">
            <a:schemeClr val="phClr">
              <a:lumMod val="84%"/>
            </a:schemeClr>
          </a:gs>
        </a:gsLst>
        <a:lin ang="5400000" scaled="1"/>
      </a:gradFill>
      <a:effectLst>
        <a:outerShdw blurRad="76200" dir="18900000" sy="23%" kx="-1200000" algn="bl" rotWithShape="0">
          <a:prstClr val="black">
            <a:alpha val="20%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%"/>
        <a:lumOff val="35%"/>
      </a:schemeClr>
    </cs:fontRef>
    <cs:spPr>
      <a:ln w="9525">
        <a:solidFill>
          <a:schemeClr val="dk1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%"/>
          <a:lumOff val="65%"/>
        </a:schemeClr>
      </a:solidFill>
      <a:ln w="9525">
        <a:solidFill>
          <a:schemeClr val="dk1">
            <a:lumMod val="50%"/>
            <a:lumOff val="50%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%"/>
            <a:lumOff val="50%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%"/>
            <a:lumOff val="50%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%"/>
            <a:lumOff val="50%"/>
          </a:schemeClr>
        </a:solidFill>
      </a:ln>
    </cs:spPr>
  </cs:leaderLine>
  <cs:legend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%"/>
        <a:lumOff val="35%"/>
      </a:schemeClr>
    </cs:fontRef>
    <cs:spPr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%"/>
            <a:lumOff val="50%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%"/>
        <a:lumOff val="35%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%"/>
        </a:schemeClr>
      </a:solidFill>
      <a:ln w="9525">
        <a:solidFill>
          <a:schemeClr val="dk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purl.oclc.org/ooxml/drawingml/main" id="29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purl.oclc.org/ooxml/officeDocument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purl.oclc.org/ooxml/officeDocument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purl.oclc.org/ooxml/officeDocument/relationships/drawing" Target="../drawings/drawing6.xml"/></Relationships>
</file>

<file path=xl/chartsheets/sheet1.xml><?xml version="1.0" encoding="utf-8"?>
<chartsheet xmlns="http://purl.oclc.org/ooxml/spreadsheetml/main" xmlns:r="http://purl.oclc.org/ooxml/officeDocument/relationships" xmlns:v="urn:schemas-microsoft-com:vml">
  <sheetPr/>
  <sheetViews>
    <sheetView tabSelected="1" zoomScale="11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purl.oclc.org/ooxml/spreadsheetml/main" xmlns:r="http://purl.oclc.org/ooxml/officeDocument/relationships" xmlns:v="urn:schemas-microsoft-com:vml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purl.oclc.org/ooxml/spreadsheetml/main" xmlns:r="http://purl.oclc.org/ooxml/officeDocument/relationships" xmlns:v="urn:schemas-microsoft-com:vml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purl.oclc.org/ooxml/spreadsheetml/main" xmlns:r="http://purl.oclc.org/ooxml/officeDocument/relationships" xmlns:v="urn:schemas-microsoft-com:vml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purl.oclc.org/ooxml/spreadsheetml/main" xmlns:r="http://purl.oclc.org/ooxml/officeDocument/relationships" xmlns:v="urn:schemas-microsoft-com:vml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purl.oclc.org/ooxml/spreadsheetml/main" xmlns:r="http://purl.oclc.org/ooxml/officeDocument/relationships" xmlns:v="urn:schemas-microsoft-com:vml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purl.oclc.org/ooxml/officeDocument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purl.oclc.org/ooxml/officeDocument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purl.oclc.org/ooxml/officeDocument/relationships/chart" Target="../charts/chart6.xml"/></Relationships>
</file>

<file path=xl/drawings/drawing1.xml><?xml version="1.0" encoding="utf-8"?>
<xdr:wsDr xmlns:xdr="http://purl.oclc.org/ooxml/drawingml/spreadsheetDrawing" xmlns:a="http://purl.oclc.org/ooxml/drawingml/main">
  <xdr:absoluteAnchor>
    <xdr:pos x="0" y="0"/>
    <xdr:ext cx="9298609" cy="60628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E08006-F296-059F-79CD-18FE78DB9E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2.xml><?xml version="1.0" encoding="utf-8"?>
<xdr:wsDr xmlns:xdr="http://purl.oclc.org/ooxml/drawingml/spreadsheetDrawing" xmlns:a="http://purl.oclc.org/ooxml/drawingml/main">
  <xdr:absoluteAnchor>
    <xdr:pos x="0" y="0"/>
    <xdr:ext cx="9298609" cy="60628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885B2E-A3B4-E8AC-1000-ED486D4064E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3.xml><?xml version="1.0" encoding="utf-8"?>
<xdr:wsDr xmlns:xdr="http://purl.oclc.org/ooxml/drawingml/spreadsheetDrawing" xmlns:a="http://purl.oclc.org/ooxml/drawingml/main">
  <xdr:absoluteAnchor>
    <xdr:pos x="0" y="0"/>
    <xdr:ext cx="9298609" cy="6062870"/>
    <xdr:graphicFrame macro="">
      <xdr:nvGraphicFramePr>
        <xdr:cNvPr id="2" name="Chart 1" descr="Chart type: Line. 'Frequency'&#10;&#10;Description automatically generated">
          <a:extLst>
            <a:ext uri="{FF2B5EF4-FFF2-40B4-BE49-F238E27FC236}">
              <a16:creationId xmlns:a16="http://schemas.microsoft.com/office/drawing/2014/main" id="{4E01F9B3-88BA-9B3F-EB8A-D2339F2F7D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4.xml><?xml version="1.0" encoding="utf-8"?>
<xdr:wsDr xmlns:xdr="http://purl.oclc.org/ooxml/drawingml/spreadsheetDrawing" xmlns:a="http://purl.oclc.org/ooxml/drawingml/main">
  <xdr:absoluteAnchor>
    <xdr:pos x="0" y="0"/>
    <xdr:ext cx="9298609" cy="6062870"/>
    <xdr:graphicFrame macro="">
      <xdr:nvGraphicFramePr>
        <xdr:cNvPr id="2" name="Chart 1" descr="Chart type: Clustered Column. 'Cumulative frequency'&#10;&#10;Description automatically generated">
          <a:extLst>
            <a:ext uri="{FF2B5EF4-FFF2-40B4-BE49-F238E27FC236}">
              <a16:creationId xmlns:a16="http://schemas.microsoft.com/office/drawing/2014/main" id="{21558084-D7C6-B9F7-56B1-B484ECBF6FA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5.xml><?xml version="1.0" encoding="utf-8"?>
<xdr:wsDr xmlns:xdr="http://purl.oclc.org/ooxml/drawingml/spreadsheetDrawing" xmlns:a="http://purl.oclc.org/ooxml/drawingml/main">
  <xdr:absoluteAnchor>
    <xdr:pos x="0" y="0"/>
    <xdr:ext cx="9298609" cy="6062870"/>
    <xdr:graphicFrame macro="">
      <xdr:nvGraphicFramePr>
        <xdr:cNvPr id="2" name="Chart 1" descr="Chart type: Line. 'Cumulative frequency'&#10;&#10;Description automatically generated">
          <a:extLst>
            <a:ext uri="{FF2B5EF4-FFF2-40B4-BE49-F238E27FC236}">
              <a16:creationId xmlns:a16="http://schemas.microsoft.com/office/drawing/2014/main" id="{CCB53079-9CE4-6918-B665-F2C5FECDCD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6.xml><?xml version="1.0" encoding="utf-8"?>
<xdr:wsDr xmlns:xdr="http://purl.oclc.org/ooxml/drawingml/spreadsheetDrawing" xmlns:a="http://purl.oclc.org/ooxml/drawingml/main">
  <xdr:absoluteAnchor>
    <xdr:pos x="0" y="0"/>
    <xdr:ext cx="9298609" cy="60628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D4967B-F4F5-8278-2E49-95EA745CF44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r:id="rId1" refreshedBy="Pat.Ryser-Welch" refreshedDateIso="2024-03-30T15:32:44.68999972566962400" createdVersion="8" refreshedVersion="8" minRefreshableVersion="3" recordCount="310">
  <cacheSource type="worksheet">
    <worksheetSource ref="A1:J311" sheet="data"/>
  </cacheSource>
  <cacheFields count="10">
    <cacheField name="#SPILL!" numFmtId="0">
      <sharedItems containsSemiMixedTypes="0" containsString="0" containsNumber="1" containsInteger="1" minValue="4766901" maxValue="7620067" count="310">
        <n v="4766914"/>
        <n v="4766939"/>
        <n v="4766979"/>
        <n v="7620007"/>
        <n v="7620014"/>
        <n v="7620001"/>
        <n v="4766937"/>
        <n v="4766901"/>
        <n v="4766926"/>
        <n v="4766958"/>
        <n v="4766973"/>
        <n v="4766934"/>
        <n v="4766911"/>
        <n v="7620061"/>
        <n v="4766978"/>
        <n v="7620051"/>
        <n v="4766917"/>
        <n v="4766921"/>
        <n v="4766918"/>
        <n v="4766909"/>
        <n v="4766982"/>
        <n v="7619970"/>
        <n v="7620039"/>
        <n v="7620049"/>
        <n v="4766961"/>
        <n v="4767005"/>
        <n v="7620048"/>
        <n v="4766929"/>
        <n v="4766943"/>
        <n v="4766996"/>
        <n v="4766913"/>
        <n v="4766977"/>
        <n v="4766906"/>
        <n v="4766928"/>
        <n v="7619995"/>
        <n v="7620056"/>
        <n v="7619991"/>
        <n v="7619996"/>
        <n v="4766919"/>
        <n v="7619949"/>
        <n v="7620047"/>
        <n v="7620024"/>
        <n v="4766907"/>
        <n v="4766910"/>
        <n v="4767067"/>
        <n v="4767079"/>
        <n v="4766952"/>
        <n v="4767031"/>
        <n v="4767051"/>
        <n v="7620052"/>
        <n v="4767012"/>
        <n v="4766903"/>
        <n v="4767078"/>
        <n v="7620060"/>
        <n v="4767081"/>
        <n v="7619948"/>
        <n v="4766968"/>
        <n v="4767043"/>
        <n v="7619986"/>
        <n v="4766905"/>
        <n v="4766927"/>
        <n v="4766935"/>
        <n v="4766944"/>
        <n v="4766954"/>
        <n v="4767024"/>
        <n v="7619953"/>
        <n v="7619990"/>
        <n v="7620018"/>
        <n v="4766964"/>
        <n v="7619977"/>
        <n v="7620026"/>
        <n v="7619975"/>
        <n v="7620037"/>
        <n v="4767008"/>
        <n v="7620040"/>
        <n v="7620004"/>
        <n v="4767042"/>
        <n v="4767065"/>
        <n v="4766904"/>
        <n v="4766912"/>
        <n v="7619941"/>
        <n v="4767001"/>
        <n v="4766915"/>
        <n v="4766988"/>
        <n v="7619946"/>
        <n v="7620021"/>
        <n v="7619998"/>
        <n v="4766920"/>
        <n v="4766931"/>
        <n v="4766975"/>
        <n v="4767071"/>
        <n v="7619943"/>
        <n v="7620009"/>
        <n v="7619984"/>
        <n v="4766924"/>
        <n v="4766966"/>
        <n v="4767050"/>
        <n v="4767055"/>
        <n v="4767069"/>
        <n v="7620003"/>
        <n v="7619967"/>
        <n v="7619985"/>
        <n v="7619993"/>
        <n v="7620063"/>
        <n v="4766984"/>
        <n v="4767019"/>
        <n v="4767070"/>
        <n v="7619980"/>
        <n v="7620057"/>
        <n v="4767075"/>
        <n v="7619956"/>
        <n v="4767047"/>
        <n v="7620005"/>
        <n v="4766995"/>
        <n v="7620000"/>
        <n v="4766923"/>
        <n v="4767032"/>
        <n v="4766947"/>
        <n v="7619978"/>
        <n v="4766922"/>
        <n v="4766953"/>
        <n v="4766959"/>
        <n v="4766965"/>
        <n v="4766985"/>
        <n v="4766989"/>
        <n v="4766990"/>
        <n v="4767035"/>
        <n v="4767039"/>
        <n v="7619959"/>
        <n v="7619962"/>
        <n v="4767034"/>
        <n v="7620011"/>
        <n v="7620065"/>
        <n v="4766908"/>
        <n v="4766950"/>
        <n v="4767037"/>
        <n v="7619989"/>
        <n v="7620006"/>
        <n v="4767021"/>
        <n v="4767025"/>
        <n v="4767053"/>
        <n v="7619976"/>
        <n v="7620016"/>
        <n v="4766933"/>
        <n v="4766997"/>
        <n v="4767002"/>
        <n v="7620033"/>
        <n v="4767020"/>
        <n v="4766981"/>
        <n v="4767016"/>
        <n v="7620002"/>
        <n v="7620058"/>
        <n v="4767006"/>
        <n v="4767038"/>
        <n v="4767056"/>
        <n v="7620036"/>
        <n v="4766993"/>
        <n v="4766930"/>
        <n v="4766946"/>
        <n v="4767077"/>
        <n v="4766945"/>
        <n v="4767082"/>
        <n v="7620038"/>
        <n v="7619979"/>
        <n v="7620015"/>
        <n v="7620030"/>
        <n v="4767066"/>
        <n v="7619954"/>
        <n v="7620020"/>
        <n v="4766986"/>
        <n v="4766963"/>
        <n v="4767062"/>
        <n v="7619968"/>
        <n v="7619983"/>
        <n v="7620066"/>
        <n v="4766902"/>
        <n v="4766970"/>
        <n v="7619960"/>
        <n v="4766951"/>
        <n v="4766967"/>
        <n v="4767018"/>
        <n v="4767063"/>
        <n v="7619947"/>
        <n v="7619957"/>
        <n v="4766969"/>
        <n v="4767000"/>
        <n v="7619969"/>
        <n v="7620012"/>
        <n v="4766983"/>
        <n v="7620043"/>
        <n v="4766992"/>
        <n v="7619944"/>
        <n v="7620019"/>
        <n v="7620027"/>
        <n v="7620054"/>
        <n v="4766916"/>
        <n v="4767041"/>
        <n v="4767048"/>
        <n v="4766960"/>
        <n v="4767036"/>
        <n v="7619950"/>
        <n v="7619994"/>
        <n v="7620029"/>
        <n v="7620045"/>
        <n v="4766994"/>
        <n v="4767072"/>
        <n v="7620059"/>
        <n v="7619973"/>
        <n v="4766942"/>
        <n v="4767015"/>
        <n v="7619964"/>
        <n v="7619981"/>
        <n v="7620041"/>
        <n v="7620013"/>
        <n v="7619966"/>
        <n v="7619963"/>
        <n v="4767046"/>
        <n v="7620023"/>
        <n v="7620046"/>
        <n v="7619997"/>
        <n v="4766948"/>
        <n v="7619952"/>
        <n v="7619958"/>
        <n v="4767017"/>
        <n v="4767057"/>
        <n v="4766932"/>
        <n v="7620010"/>
        <n v="7619987"/>
        <n v="4766936"/>
        <n v="4766972"/>
        <n v="4766974"/>
        <n v="4766987"/>
        <n v="7620050"/>
        <n v="4766999"/>
        <n v="4766980"/>
        <n v="7620022"/>
        <n v="7620055"/>
        <n v="4767076"/>
        <n v="7620031"/>
        <n v="4766941"/>
        <n v="4767011"/>
        <n v="7619945"/>
        <n v="4766956"/>
        <n v="4766962"/>
        <n v="4767009"/>
        <n v="4767052"/>
        <n v="4767080"/>
        <n v="7619951"/>
        <n v="4766940"/>
        <n v="4767029"/>
        <n v="4767033"/>
        <n v="7620064"/>
        <n v="7620025"/>
        <n v="4767004"/>
        <n v="4767010"/>
        <n v="4767023"/>
        <n v="7620028"/>
        <n v="4766991"/>
        <n v="7619965"/>
        <n v="7620053"/>
        <n v="4766957"/>
        <n v="4767045"/>
        <n v="4767060"/>
        <n v="7619992"/>
        <n v="7619982"/>
        <n v="7619999"/>
        <n v="4767013"/>
        <n v="4766925"/>
        <n v="4767027"/>
        <n v="7620035"/>
        <n v="4767028"/>
        <n v="4767058"/>
        <n v="7620044"/>
        <n v="4767022"/>
        <n v="4766971"/>
        <n v="4766998"/>
        <n v="4767049"/>
        <n v="4767068"/>
        <n v="7619940"/>
        <n v="7619971"/>
        <n v="7620008"/>
        <n v="4766955"/>
        <n v="4767073"/>
        <n v="7619972"/>
        <n v="4767003"/>
        <n v="7619942"/>
        <n v="4766938"/>
        <n v="4766976"/>
        <n v="4767007"/>
        <n v="4766949"/>
        <n v="7619988"/>
        <n v="4767059"/>
        <n v="4767040"/>
        <n v="4767026"/>
        <n v="4767044"/>
        <n v="7619974"/>
        <n v="4767054"/>
        <n v="7620067"/>
        <n v="4767074"/>
        <n v="4767061"/>
        <n v="7620032"/>
        <n v="7620034"/>
        <n v="7619955"/>
        <n v="7619961"/>
        <n v="4767014"/>
        <n v="4767064"/>
        <n v="7620042"/>
        <n v="7620062"/>
        <n v="4767030"/>
        <n v="7620017"/>
      </sharedItems>
    </cacheField>
    <cacheField name="Name" numFmtId="0">
      <sharedItems/>
    </cacheField>
    <cacheField name="Price" numFmtId="0">
      <sharedItems containsSemiMixedTypes="0" containsString="0" containsNumber="1" containsInteger="1" minValue="22500" maxValue="1555496"/>
    </cacheField>
    <cacheField name="Date of Transfer" numFmtId="14">
      <sharedItems containsSemiMixedTypes="0" containsNonDate="0" containsDate="1" containsString="0" minDate="2001-02-22T00:00:00" maxDate="2017-06-02T00:00:00"/>
    </cacheField>
    <cacheField name="Year" numFmtId="0">
      <sharedItems containsSemiMixedTypes="0" containsString="0" containsNumber="1" containsInteger="1" minValue="2001" maxValue="2017" count="17">
        <n v="2001"/>
        <n v="2003"/>
        <n v="2004"/>
        <n v="2015"/>
        <n v="2014"/>
        <n v="2002"/>
        <n v="2017"/>
        <n v="2016"/>
        <n v="2013"/>
        <n v="2006"/>
        <n v="2005"/>
        <n v="2011"/>
        <n v="2009"/>
        <n v="2010"/>
        <n v="2007"/>
        <n v="2008"/>
        <n v="2012"/>
      </sharedItems>
    </cacheField>
    <cacheField name="Month" numFmtId="0">
      <sharedItems containsSemiMixedTypes="0" containsString="0" containsNumber="1" containsInteger="1" minValue="1" maxValue="12"/>
    </cacheField>
    <cacheField name="Day" numFmtId="0">
      <sharedItems containsSemiMixedTypes="0" containsString="0" containsNumber="1" containsInteger="1" minValue="1" maxValue="31"/>
    </cacheField>
    <cacheField name="Property Type" numFmtId="0">
      <sharedItems count="5">
        <s v="T"/>
        <s v="D"/>
        <s v="O"/>
        <s v="F"/>
        <s v="S"/>
      </sharedItems>
    </cacheField>
    <cacheField name="Area (sq km)" numFmtId="0">
      <sharedItems containsSemiMixedTypes="0" containsString="0" containsNumber="1" minValue="16.317699999999999" maxValue="16.317699999999999"/>
    </cacheField>
    <cacheField name="est_pop" numFmtId="0">
      <sharedItems containsString="0" containsBlank="1" containsNumber="1" containsInteger="1" minValue="2140" maxValue="21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count="310">
  <r>
    <x v="0"/>
    <s v="ISLES OF SCILLY"/>
    <n v="22500"/>
    <d v="2001-02-22T00:00:00"/>
    <x v="0"/>
    <n v="2"/>
    <n v="22"/>
    <x v="0"/>
    <n v="16.317699999999999"/>
    <n v="2140"/>
  </r>
  <r>
    <x v="1"/>
    <s v="ISLES OF SCILLY"/>
    <n v="31735"/>
    <d v="2003-02-18T00:00:00"/>
    <x v="1"/>
    <n v="2"/>
    <n v="18"/>
    <x v="1"/>
    <n v="16.317699999999999"/>
    <n v="2140"/>
  </r>
  <r>
    <x v="2"/>
    <s v="ISLES OF SCILLY"/>
    <n v="37725"/>
    <d v="2004-03-05T00:00:00"/>
    <x v="2"/>
    <n v="3"/>
    <n v="5"/>
    <x v="1"/>
    <n v="16.317699999999999"/>
    <n v="2140"/>
  </r>
  <r>
    <x v="3"/>
    <s v="ISLES OF SCILLY"/>
    <n v="39500"/>
    <d v="2015-08-11T00:00:00"/>
    <x v="3"/>
    <n v="8"/>
    <n v="11"/>
    <x v="1"/>
    <n v="16.317699999999999"/>
    <m/>
  </r>
  <r>
    <x v="4"/>
    <s v="ISLES OF SCILLY"/>
    <n v="45000"/>
    <d v="2015-11-17T00:00:00"/>
    <x v="3"/>
    <n v="11"/>
    <n v="17"/>
    <x v="2"/>
    <n v="16.317699999999999"/>
    <m/>
  </r>
  <r>
    <x v="5"/>
    <s v="ISLES OF SCILLY"/>
    <n v="62500"/>
    <d v="2014-09-30T00:00:00"/>
    <x v="4"/>
    <n v="9"/>
    <n v="30"/>
    <x v="3"/>
    <n v="16.317699999999999"/>
    <m/>
  </r>
  <r>
    <x v="6"/>
    <s v="ISLES OF SCILLY"/>
    <n v="65000"/>
    <d v="2003-02-03T00:00:00"/>
    <x v="1"/>
    <n v="2"/>
    <n v="3"/>
    <x v="3"/>
    <n v="16.317699999999999"/>
    <n v="2140"/>
  </r>
  <r>
    <x v="7"/>
    <s v="ISLES OF SCILLY"/>
    <n v="80000"/>
    <d v="2001-10-15T00:00:00"/>
    <x v="0"/>
    <n v="10"/>
    <n v="15"/>
    <x v="4"/>
    <n v="16.317699999999999"/>
    <n v="2140"/>
  </r>
  <r>
    <x v="8"/>
    <s v="ISLES OF SCILLY"/>
    <n v="80000"/>
    <d v="2002-03-08T00:00:00"/>
    <x v="5"/>
    <n v="3"/>
    <n v="8"/>
    <x v="3"/>
    <n v="16.317699999999999"/>
    <n v="2140"/>
  </r>
  <r>
    <x v="9"/>
    <s v="ISLES OF SCILLY"/>
    <n v="80000"/>
    <d v="2003-12-22T00:00:00"/>
    <x v="1"/>
    <n v="12"/>
    <n v="22"/>
    <x v="0"/>
    <n v="16.317699999999999"/>
    <n v="2140"/>
  </r>
  <r>
    <x v="10"/>
    <s v="ISLES OF SCILLY"/>
    <n v="80000"/>
    <d v="2004-07-02T00:00:00"/>
    <x v="2"/>
    <n v="7"/>
    <n v="2"/>
    <x v="3"/>
    <n v="16.317699999999999"/>
    <n v="2140"/>
  </r>
  <r>
    <x v="11"/>
    <s v="ISLES OF SCILLY"/>
    <n v="90000"/>
    <d v="2002-10-31T00:00:00"/>
    <x v="5"/>
    <n v="10"/>
    <n v="31"/>
    <x v="3"/>
    <n v="16.317699999999999"/>
    <n v="2140"/>
  </r>
  <r>
    <x v="12"/>
    <s v="ISLES OF SCILLY"/>
    <n v="95000"/>
    <d v="2001-03-01T00:00:00"/>
    <x v="0"/>
    <n v="3"/>
    <n v="1"/>
    <x v="3"/>
    <n v="16.317699999999999"/>
    <n v="2140"/>
  </r>
  <r>
    <x v="13"/>
    <s v="ISLES OF SCILLY"/>
    <n v="95000"/>
    <d v="2017-05-15T00:00:00"/>
    <x v="6"/>
    <n v="5"/>
    <n v="15"/>
    <x v="2"/>
    <n v="16.317699999999999"/>
    <m/>
  </r>
  <r>
    <x v="14"/>
    <s v="ISLES OF SCILLY"/>
    <n v="96500"/>
    <d v="2004-01-30T00:00:00"/>
    <x v="2"/>
    <n v="1"/>
    <n v="30"/>
    <x v="0"/>
    <n v="16.317699999999999"/>
    <n v="2140"/>
  </r>
  <r>
    <x v="15"/>
    <s v="ISLES OF SCILLY"/>
    <n v="100000"/>
    <d v="2016-05-24T00:00:00"/>
    <x v="7"/>
    <n v="5"/>
    <n v="24"/>
    <x v="4"/>
    <n v="16.317699999999999"/>
    <m/>
  </r>
  <r>
    <x v="16"/>
    <s v="ISLES OF SCILLY"/>
    <n v="107500"/>
    <d v="2001-05-18T00:00:00"/>
    <x v="0"/>
    <n v="5"/>
    <n v="18"/>
    <x v="3"/>
    <n v="16.317699999999999"/>
    <n v="2140"/>
  </r>
  <r>
    <x v="17"/>
    <s v="ISLES OF SCILLY"/>
    <n v="110500"/>
    <d v="2002-09-23T00:00:00"/>
    <x v="5"/>
    <n v="9"/>
    <n v="23"/>
    <x v="3"/>
    <n v="16.317699999999999"/>
    <n v="2140"/>
  </r>
  <r>
    <x v="18"/>
    <s v="ISLES OF SCILLY"/>
    <n v="115000"/>
    <d v="2001-07-24T00:00:00"/>
    <x v="0"/>
    <n v="7"/>
    <n v="24"/>
    <x v="3"/>
    <n v="16.317699999999999"/>
    <n v="2140"/>
  </r>
  <r>
    <x v="19"/>
    <s v="ISLES OF SCILLY"/>
    <n v="118000"/>
    <d v="2001-08-31T00:00:00"/>
    <x v="0"/>
    <n v="8"/>
    <n v="31"/>
    <x v="1"/>
    <n v="16.317699999999999"/>
    <n v="2140"/>
  </r>
  <r>
    <x v="20"/>
    <s v="ISLES OF SCILLY"/>
    <n v="125000"/>
    <d v="2004-08-02T00:00:00"/>
    <x v="2"/>
    <n v="8"/>
    <n v="2"/>
    <x v="4"/>
    <n v="16.317699999999999"/>
    <n v="2140"/>
  </r>
  <r>
    <x v="21"/>
    <s v="ISLES OF SCILLY"/>
    <n v="125000"/>
    <d v="2013-11-29T00:00:00"/>
    <x v="8"/>
    <n v="11"/>
    <n v="29"/>
    <x v="3"/>
    <n v="16.317699999999999"/>
    <m/>
  </r>
  <r>
    <x v="22"/>
    <s v="ISLES OF SCILLY"/>
    <n v="125000"/>
    <d v="2016-12-19T00:00:00"/>
    <x v="7"/>
    <n v="12"/>
    <n v="19"/>
    <x v="3"/>
    <n v="16.317699999999999"/>
    <m/>
  </r>
  <r>
    <x v="23"/>
    <s v="ISLES OF SCILLY"/>
    <n v="125000"/>
    <d v="2016-03-01T00:00:00"/>
    <x v="7"/>
    <n v="3"/>
    <n v="1"/>
    <x v="3"/>
    <n v="16.317699999999999"/>
    <m/>
  </r>
  <r>
    <x v="24"/>
    <s v="ISLES OF SCILLY"/>
    <n v="127500"/>
    <d v="2003-11-07T00:00:00"/>
    <x v="1"/>
    <n v="11"/>
    <n v="7"/>
    <x v="3"/>
    <n v="16.317699999999999"/>
    <n v="2140"/>
  </r>
  <r>
    <x v="25"/>
    <s v="ISLES OF SCILLY"/>
    <n v="148000"/>
    <d v="2006-03-17T00:00:00"/>
    <x v="9"/>
    <n v="3"/>
    <n v="17"/>
    <x v="3"/>
    <n v="16.317699999999999"/>
    <n v="2140"/>
  </r>
  <r>
    <x v="26"/>
    <s v="ISLES OF SCILLY"/>
    <n v="148500"/>
    <d v="2016-01-22T00:00:00"/>
    <x v="7"/>
    <n v="1"/>
    <n v="22"/>
    <x v="3"/>
    <n v="16.317699999999999"/>
    <m/>
  </r>
  <r>
    <x v="27"/>
    <s v="ISLES OF SCILLY"/>
    <n v="150000"/>
    <d v="2002-05-24T00:00:00"/>
    <x v="5"/>
    <n v="5"/>
    <n v="24"/>
    <x v="4"/>
    <n v="16.317699999999999"/>
    <n v="2140"/>
  </r>
  <r>
    <x v="28"/>
    <s v="ISLES OF SCILLY"/>
    <n v="150000"/>
    <d v="2003-02-28T00:00:00"/>
    <x v="1"/>
    <n v="2"/>
    <n v="28"/>
    <x v="3"/>
    <n v="16.317699999999999"/>
    <n v="2140"/>
  </r>
  <r>
    <x v="29"/>
    <s v="ISLES OF SCILLY"/>
    <n v="158000"/>
    <d v="2005-11-23T00:00:00"/>
    <x v="10"/>
    <n v="11"/>
    <n v="23"/>
    <x v="3"/>
    <n v="16.317699999999999"/>
    <n v="2140"/>
  </r>
  <r>
    <x v="30"/>
    <s v="ISLES OF SCILLY"/>
    <n v="160000"/>
    <d v="2001-11-30T00:00:00"/>
    <x v="0"/>
    <n v="11"/>
    <n v="30"/>
    <x v="3"/>
    <n v="16.317699999999999"/>
    <n v="2140"/>
  </r>
  <r>
    <x v="31"/>
    <s v="ISLES OF SCILLY"/>
    <n v="160000"/>
    <d v="2004-06-28T00:00:00"/>
    <x v="2"/>
    <n v="6"/>
    <n v="28"/>
    <x v="3"/>
    <n v="16.317699999999999"/>
    <n v="2140"/>
  </r>
  <r>
    <x v="32"/>
    <s v="ISLES OF SCILLY"/>
    <n v="165000"/>
    <d v="2001-12-07T00:00:00"/>
    <x v="0"/>
    <n v="12"/>
    <n v="7"/>
    <x v="3"/>
    <n v="16.317699999999999"/>
    <n v="2140"/>
  </r>
  <r>
    <x v="33"/>
    <s v="ISLES OF SCILLY"/>
    <n v="165000"/>
    <d v="2002-11-29T00:00:00"/>
    <x v="5"/>
    <n v="11"/>
    <n v="29"/>
    <x v="3"/>
    <n v="16.317699999999999"/>
    <n v="2140"/>
  </r>
  <r>
    <x v="34"/>
    <s v="ISLES OF SCILLY"/>
    <n v="165000"/>
    <d v="2014-03-17T00:00:00"/>
    <x v="4"/>
    <n v="3"/>
    <n v="17"/>
    <x v="3"/>
    <n v="16.317699999999999"/>
    <m/>
  </r>
  <r>
    <x v="35"/>
    <s v="ISLES OF SCILLY"/>
    <n v="165000"/>
    <d v="2017-04-26T00:00:00"/>
    <x v="6"/>
    <n v="4"/>
    <n v="26"/>
    <x v="3"/>
    <n v="16.317699999999999"/>
    <m/>
  </r>
  <r>
    <x v="36"/>
    <s v="ISLES OF SCILLY"/>
    <n v="170000"/>
    <d v="2014-10-23T00:00:00"/>
    <x v="4"/>
    <n v="10"/>
    <n v="23"/>
    <x v="3"/>
    <n v="16.317699999999999"/>
    <m/>
  </r>
  <r>
    <x v="37"/>
    <s v="ISLES OF SCILLY"/>
    <n v="173500"/>
    <d v="2014-12-15T00:00:00"/>
    <x v="4"/>
    <n v="12"/>
    <n v="15"/>
    <x v="1"/>
    <n v="16.317699999999999"/>
    <m/>
  </r>
  <r>
    <x v="38"/>
    <s v="ISLES OF SCILLY"/>
    <n v="175000"/>
    <d v="2002-08-29T00:00:00"/>
    <x v="5"/>
    <n v="8"/>
    <n v="29"/>
    <x v="3"/>
    <n v="16.317699999999999"/>
    <n v="2140"/>
  </r>
  <r>
    <x v="39"/>
    <s v="ISLES OF SCILLY"/>
    <n v="175000"/>
    <d v="2011-05-27T00:00:00"/>
    <x v="11"/>
    <n v="5"/>
    <n v="27"/>
    <x v="0"/>
    <n v="16.317699999999999"/>
    <m/>
  </r>
  <r>
    <x v="40"/>
    <s v="ISLES OF SCILLY"/>
    <n v="175000"/>
    <d v="2016-01-28T00:00:00"/>
    <x v="7"/>
    <n v="1"/>
    <n v="28"/>
    <x v="3"/>
    <n v="16.317699999999999"/>
    <m/>
  </r>
  <r>
    <x v="41"/>
    <s v="ISLES OF SCILLY"/>
    <n v="178000"/>
    <d v="2016-03-07T00:00:00"/>
    <x v="7"/>
    <n v="3"/>
    <n v="7"/>
    <x v="3"/>
    <n v="16.317699999999999"/>
    <m/>
  </r>
  <r>
    <x v="42"/>
    <s v="ISLES OF SCILLY"/>
    <n v="180000"/>
    <d v="2001-12-17T00:00:00"/>
    <x v="0"/>
    <n v="12"/>
    <n v="17"/>
    <x v="3"/>
    <n v="16.317699999999999"/>
    <n v="2140"/>
  </r>
  <r>
    <x v="43"/>
    <s v="ISLES OF SCILLY"/>
    <n v="180000"/>
    <d v="2001-10-22T00:00:00"/>
    <x v="0"/>
    <n v="10"/>
    <n v="22"/>
    <x v="3"/>
    <n v="16.317699999999999"/>
    <n v="2140"/>
  </r>
  <r>
    <x v="44"/>
    <s v="ISLES OF SCILLY"/>
    <n v="180000"/>
    <d v="2009-10-16T00:00:00"/>
    <x v="12"/>
    <n v="10"/>
    <n v="16"/>
    <x v="1"/>
    <n v="16.317699999999999"/>
    <n v="2140"/>
  </r>
  <r>
    <x v="45"/>
    <s v="ISLES OF SCILLY"/>
    <n v="183000"/>
    <d v="2010-06-30T00:00:00"/>
    <x v="13"/>
    <n v="6"/>
    <n v="30"/>
    <x v="3"/>
    <n v="16.317699999999999"/>
    <n v="2140"/>
  </r>
  <r>
    <x v="46"/>
    <s v="ISLES OF SCILLY"/>
    <n v="185000"/>
    <d v="2003-11-12T00:00:00"/>
    <x v="1"/>
    <n v="11"/>
    <n v="12"/>
    <x v="3"/>
    <n v="16.317699999999999"/>
    <n v="2140"/>
  </r>
  <r>
    <x v="47"/>
    <s v="ISLES OF SCILLY"/>
    <n v="185000"/>
    <d v="2007-10-19T00:00:00"/>
    <x v="14"/>
    <n v="10"/>
    <n v="19"/>
    <x v="3"/>
    <n v="16.317699999999999"/>
    <n v="2140"/>
  </r>
  <r>
    <x v="48"/>
    <s v="ISLES OF SCILLY"/>
    <n v="185000"/>
    <d v="2008-02-22T00:00:00"/>
    <x v="15"/>
    <n v="2"/>
    <n v="22"/>
    <x v="3"/>
    <n v="16.317699999999999"/>
    <n v="2140"/>
  </r>
  <r>
    <x v="49"/>
    <s v="ISLES OF SCILLY"/>
    <n v="185000"/>
    <d v="2016-11-10T00:00:00"/>
    <x v="7"/>
    <n v="11"/>
    <n v="10"/>
    <x v="3"/>
    <n v="16.317699999999999"/>
    <m/>
  </r>
  <r>
    <x v="50"/>
    <s v="ISLES OF SCILLY"/>
    <n v="189950"/>
    <d v="2006-06-26T00:00:00"/>
    <x v="9"/>
    <n v="6"/>
    <n v="26"/>
    <x v="3"/>
    <n v="16.317699999999999"/>
    <n v="2140"/>
  </r>
  <r>
    <x v="51"/>
    <s v="ISLES OF SCILLY"/>
    <n v="190000"/>
    <d v="2001-11-18T00:00:00"/>
    <x v="0"/>
    <n v="11"/>
    <n v="18"/>
    <x v="1"/>
    <n v="16.317699999999999"/>
    <n v="2140"/>
  </r>
  <r>
    <x v="52"/>
    <s v="ISLES OF SCILLY"/>
    <n v="190000"/>
    <d v="2010-11-30T00:00:00"/>
    <x v="13"/>
    <n v="11"/>
    <n v="30"/>
    <x v="0"/>
    <n v="16.317699999999999"/>
    <n v="2140"/>
  </r>
  <r>
    <x v="53"/>
    <s v="ISLES OF SCILLY"/>
    <n v="190000"/>
    <d v="2017-01-06T00:00:00"/>
    <x v="6"/>
    <n v="1"/>
    <n v="6"/>
    <x v="3"/>
    <n v="16.317699999999999"/>
    <m/>
  </r>
  <r>
    <x v="54"/>
    <s v="ISLES OF SCILLY"/>
    <n v="191000"/>
    <d v="2010-01-20T00:00:00"/>
    <x v="13"/>
    <n v="1"/>
    <n v="20"/>
    <x v="3"/>
    <n v="16.317699999999999"/>
    <n v="2140"/>
  </r>
  <r>
    <x v="55"/>
    <s v="ISLES OF SCILLY"/>
    <n v="194500"/>
    <d v="2011-02-18T00:00:00"/>
    <x v="11"/>
    <n v="2"/>
    <n v="18"/>
    <x v="3"/>
    <n v="16.317699999999999"/>
    <m/>
  </r>
  <r>
    <x v="56"/>
    <s v="ISLES OF SCILLY"/>
    <n v="195000"/>
    <d v="2004-12-16T00:00:00"/>
    <x v="2"/>
    <n v="12"/>
    <n v="16"/>
    <x v="3"/>
    <n v="16.317699999999999"/>
    <n v="2140"/>
  </r>
  <r>
    <x v="57"/>
    <s v="ISLES OF SCILLY"/>
    <n v="195000"/>
    <d v="2007-07-31T00:00:00"/>
    <x v="14"/>
    <n v="7"/>
    <n v="31"/>
    <x v="3"/>
    <n v="16.317699999999999"/>
    <n v="2140"/>
  </r>
  <r>
    <x v="58"/>
    <s v="ISLES OF SCILLY"/>
    <n v="195000"/>
    <d v="2014-12-08T00:00:00"/>
    <x v="4"/>
    <n v="12"/>
    <n v="8"/>
    <x v="3"/>
    <n v="16.317699999999999"/>
    <m/>
  </r>
  <r>
    <x v="59"/>
    <s v="ISLES OF SCILLY"/>
    <n v="200000"/>
    <d v="2001-03-15T00:00:00"/>
    <x v="0"/>
    <n v="3"/>
    <n v="15"/>
    <x v="1"/>
    <n v="16.317699999999999"/>
    <n v="2140"/>
  </r>
  <r>
    <x v="60"/>
    <s v="ISLES OF SCILLY"/>
    <n v="200000"/>
    <d v="2002-07-31T00:00:00"/>
    <x v="5"/>
    <n v="7"/>
    <n v="31"/>
    <x v="3"/>
    <n v="16.317699999999999"/>
    <n v="2140"/>
  </r>
  <r>
    <x v="61"/>
    <s v="ISLES OF SCILLY"/>
    <n v="200000"/>
    <d v="2003-09-02T00:00:00"/>
    <x v="1"/>
    <n v="9"/>
    <n v="2"/>
    <x v="1"/>
    <n v="16.317699999999999"/>
    <n v="2140"/>
  </r>
  <r>
    <x v="62"/>
    <s v="ISLES OF SCILLY"/>
    <n v="200000"/>
    <d v="2003-05-30T00:00:00"/>
    <x v="1"/>
    <n v="5"/>
    <n v="30"/>
    <x v="3"/>
    <n v="16.317699999999999"/>
    <n v="2140"/>
  </r>
  <r>
    <x v="63"/>
    <s v="ISLES OF SCILLY"/>
    <n v="200000"/>
    <d v="2003-05-30T00:00:00"/>
    <x v="1"/>
    <n v="5"/>
    <n v="30"/>
    <x v="3"/>
    <n v="16.317699999999999"/>
    <n v="2140"/>
  </r>
  <r>
    <x v="64"/>
    <s v="ISLES OF SCILLY"/>
    <n v="200000"/>
    <d v="2006-10-10T00:00:00"/>
    <x v="9"/>
    <n v="10"/>
    <n v="10"/>
    <x v="1"/>
    <n v="16.317699999999999"/>
    <n v="2140"/>
  </r>
  <r>
    <x v="65"/>
    <s v="ISLES OF SCILLY"/>
    <n v="200000"/>
    <d v="2011-06-24T00:00:00"/>
    <x v="11"/>
    <n v="6"/>
    <n v="24"/>
    <x v="3"/>
    <n v="16.317699999999999"/>
    <m/>
  </r>
  <r>
    <x v="66"/>
    <s v="ISLES OF SCILLY"/>
    <n v="200000"/>
    <d v="2014-09-10T00:00:00"/>
    <x v="4"/>
    <n v="9"/>
    <n v="10"/>
    <x v="0"/>
    <n v="16.317699999999999"/>
    <m/>
  </r>
  <r>
    <x v="67"/>
    <s v="ISLES OF SCILLY"/>
    <n v="200000"/>
    <d v="2015-10-07T00:00:00"/>
    <x v="3"/>
    <n v="10"/>
    <n v="7"/>
    <x v="3"/>
    <n v="16.317699999999999"/>
    <m/>
  </r>
  <r>
    <x v="68"/>
    <s v="ISLES OF SCILLY"/>
    <n v="202500"/>
    <d v="2004-12-23T00:00:00"/>
    <x v="2"/>
    <n v="12"/>
    <n v="23"/>
    <x v="3"/>
    <n v="16.317699999999999"/>
    <n v="2140"/>
  </r>
  <r>
    <x v="69"/>
    <s v="ISLES OF SCILLY"/>
    <n v="205000"/>
    <d v="2013-10-02T00:00:00"/>
    <x v="8"/>
    <n v="10"/>
    <n v="2"/>
    <x v="3"/>
    <n v="16.317699999999999"/>
    <m/>
  </r>
  <r>
    <x v="70"/>
    <s v="ISLES OF SCILLY"/>
    <n v="207000"/>
    <d v="2016-02-19T00:00:00"/>
    <x v="7"/>
    <n v="2"/>
    <n v="19"/>
    <x v="3"/>
    <n v="16.317699999999999"/>
    <m/>
  </r>
  <r>
    <x v="71"/>
    <s v="ISLES OF SCILLY"/>
    <n v="208000"/>
    <d v="2013-05-09T00:00:00"/>
    <x v="8"/>
    <n v="5"/>
    <n v="9"/>
    <x v="4"/>
    <n v="16.317699999999999"/>
    <m/>
  </r>
  <r>
    <x v="72"/>
    <s v="ISLES OF SCILLY"/>
    <n v="209000"/>
    <d v="2016-03-30T00:00:00"/>
    <x v="7"/>
    <n v="3"/>
    <n v="30"/>
    <x v="3"/>
    <n v="16.317699999999999"/>
    <m/>
  </r>
  <r>
    <x v="73"/>
    <s v="ISLES OF SCILLY"/>
    <n v="210000"/>
    <d v="2006-09-20T00:00:00"/>
    <x v="9"/>
    <n v="9"/>
    <n v="20"/>
    <x v="3"/>
    <n v="16.317699999999999"/>
    <n v="2140"/>
  </r>
  <r>
    <x v="74"/>
    <s v="ISLES OF SCILLY"/>
    <n v="210000"/>
    <d v="2016-11-18T00:00:00"/>
    <x v="7"/>
    <n v="11"/>
    <n v="18"/>
    <x v="3"/>
    <n v="16.317699999999999"/>
    <m/>
  </r>
  <r>
    <x v="75"/>
    <s v="ISLES OF SCILLY"/>
    <n v="211000"/>
    <d v="2015-12-01T00:00:00"/>
    <x v="3"/>
    <n v="12"/>
    <n v="1"/>
    <x v="3"/>
    <n v="16.317699999999999"/>
    <m/>
  </r>
  <r>
    <x v="76"/>
    <s v="ISLES OF SCILLY"/>
    <n v="215000"/>
    <d v="2007-11-06T00:00:00"/>
    <x v="14"/>
    <n v="11"/>
    <n v="6"/>
    <x v="3"/>
    <n v="16.317699999999999"/>
    <n v="2140"/>
  </r>
  <r>
    <x v="77"/>
    <s v="ISLES OF SCILLY"/>
    <n v="215000"/>
    <d v="2009-07-31T00:00:00"/>
    <x v="12"/>
    <n v="7"/>
    <n v="31"/>
    <x v="0"/>
    <n v="16.317699999999999"/>
    <n v="2140"/>
  </r>
  <r>
    <x v="78"/>
    <s v="ISLES OF SCILLY"/>
    <n v="216000"/>
    <d v="2001-12-06T00:00:00"/>
    <x v="0"/>
    <n v="12"/>
    <n v="6"/>
    <x v="3"/>
    <n v="16.317699999999999"/>
    <n v="2140"/>
  </r>
  <r>
    <x v="79"/>
    <s v="ISLES OF SCILLY"/>
    <n v="217500"/>
    <d v="2001-03-21T00:00:00"/>
    <x v="0"/>
    <n v="3"/>
    <n v="21"/>
    <x v="0"/>
    <n v="16.317699999999999"/>
    <n v="2140"/>
  </r>
  <r>
    <x v="80"/>
    <s v="ISLES OF SCILLY"/>
    <n v="217500"/>
    <d v="2011-03-22T00:00:00"/>
    <x v="11"/>
    <n v="3"/>
    <n v="22"/>
    <x v="3"/>
    <n v="16.317699999999999"/>
    <m/>
  </r>
  <r>
    <x v="81"/>
    <s v="ISLES OF SCILLY"/>
    <n v="218000"/>
    <d v="2005-01-25T00:00:00"/>
    <x v="10"/>
    <n v="1"/>
    <n v="25"/>
    <x v="3"/>
    <n v="16.317699999999999"/>
    <n v="2140"/>
  </r>
  <r>
    <x v="82"/>
    <s v="ISLES OF SCILLY"/>
    <n v="220000"/>
    <d v="2001-09-07T00:00:00"/>
    <x v="0"/>
    <n v="9"/>
    <n v="7"/>
    <x v="4"/>
    <n v="16.317699999999999"/>
    <n v="2140"/>
  </r>
  <r>
    <x v="83"/>
    <s v="ISLES OF SCILLY"/>
    <n v="220000"/>
    <d v="2005-11-01T00:00:00"/>
    <x v="10"/>
    <n v="11"/>
    <n v="1"/>
    <x v="0"/>
    <n v="16.317699999999999"/>
    <n v="2140"/>
  </r>
  <r>
    <x v="84"/>
    <s v="ISLES OF SCILLY"/>
    <n v="220000"/>
    <d v="2011-10-31T00:00:00"/>
    <x v="11"/>
    <n v="10"/>
    <n v="31"/>
    <x v="3"/>
    <n v="16.317699999999999"/>
    <m/>
  </r>
  <r>
    <x v="85"/>
    <s v="ISLES OF SCILLY"/>
    <n v="221000"/>
    <d v="2015-10-30T00:00:00"/>
    <x v="3"/>
    <n v="10"/>
    <n v="30"/>
    <x v="3"/>
    <n v="16.317699999999999"/>
    <m/>
  </r>
  <r>
    <x v="86"/>
    <s v="ISLES OF SCILLY"/>
    <n v="222500"/>
    <d v="2014-12-09T00:00:00"/>
    <x v="4"/>
    <n v="12"/>
    <n v="9"/>
    <x v="3"/>
    <n v="16.317699999999999"/>
    <m/>
  </r>
  <r>
    <x v="87"/>
    <s v="ISLES OF SCILLY"/>
    <n v="225000"/>
    <d v="2002-09-30T00:00:00"/>
    <x v="5"/>
    <n v="9"/>
    <n v="30"/>
    <x v="3"/>
    <n v="16.317699999999999"/>
    <n v="2140"/>
  </r>
  <r>
    <x v="88"/>
    <s v="ISLES OF SCILLY"/>
    <n v="225000"/>
    <d v="2002-11-28T00:00:00"/>
    <x v="5"/>
    <n v="11"/>
    <n v="28"/>
    <x v="3"/>
    <n v="16.317699999999999"/>
    <n v="2140"/>
  </r>
  <r>
    <x v="89"/>
    <s v="ISLES OF SCILLY"/>
    <n v="225000"/>
    <d v="2004-11-01T00:00:00"/>
    <x v="2"/>
    <n v="11"/>
    <n v="1"/>
    <x v="3"/>
    <n v="16.317699999999999"/>
    <n v="2140"/>
  </r>
  <r>
    <x v="90"/>
    <s v="ISLES OF SCILLY"/>
    <n v="225000"/>
    <d v="2009-12-07T00:00:00"/>
    <x v="12"/>
    <n v="12"/>
    <n v="7"/>
    <x v="3"/>
    <n v="16.317699999999999"/>
    <n v="2140"/>
  </r>
  <r>
    <x v="91"/>
    <s v="ISLES OF SCILLY"/>
    <n v="225000"/>
    <d v="2011-10-26T00:00:00"/>
    <x v="11"/>
    <n v="10"/>
    <n v="26"/>
    <x v="0"/>
    <n v="16.317699999999999"/>
    <m/>
  </r>
  <r>
    <x v="92"/>
    <s v="ISLES OF SCILLY"/>
    <n v="225000"/>
    <d v="2015-10-19T00:00:00"/>
    <x v="3"/>
    <n v="10"/>
    <n v="19"/>
    <x v="3"/>
    <n v="16.317699999999999"/>
    <m/>
  </r>
  <r>
    <x v="93"/>
    <s v="ISLES OF SCILLY"/>
    <n v="228000"/>
    <d v="2014-12-12T00:00:00"/>
    <x v="4"/>
    <n v="12"/>
    <n v="12"/>
    <x v="3"/>
    <n v="16.317699999999999"/>
    <m/>
  </r>
  <r>
    <x v="94"/>
    <s v="ISLES OF SCILLY"/>
    <n v="230000"/>
    <d v="2002-04-19T00:00:00"/>
    <x v="5"/>
    <n v="4"/>
    <n v="19"/>
    <x v="1"/>
    <n v="16.317699999999999"/>
    <n v="2140"/>
  </r>
  <r>
    <x v="95"/>
    <s v="ISLES OF SCILLY"/>
    <n v="230000"/>
    <d v="2004-02-20T00:00:00"/>
    <x v="2"/>
    <n v="2"/>
    <n v="20"/>
    <x v="3"/>
    <n v="16.317699999999999"/>
    <n v="2140"/>
  </r>
  <r>
    <x v="96"/>
    <s v="ISLES OF SCILLY"/>
    <n v="230000"/>
    <d v="2008-07-31T00:00:00"/>
    <x v="15"/>
    <n v="7"/>
    <n v="31"/>
    <x v="3"/>
    <n v="16.317699999999999"/>
    <n v="2140"/>
  </r>
  <r>
    <x v="97"/>
    <s v="ISLES OF SCILLY"/>
    <n v="230000"/>
    <d v="2008-10-22T00:00:00"/>
    <x v="15"/>
    <n v="10"/>
    <n v="22"/>
    <x v="3"/>
    <n v="16.317699999999999"/>
    <n v="2140"/>
  </r>
  <r>
    <x v="98"/>
    <s v="ISLES OF SCILLY"/>
    <n v="230000"/>
    <d v="2009-07-24T00:00:00"/>
    <x v="12"/>
    <n v="7"/>
    <n v="24"/>
    <x v="3"/>
    <n v="16.317699999999999"/>
    <n v="2140"/>
  </r>
  <r>
    <x v="99"/>
    <s v="ISLES OF SCILLY"/>
    <n v="230000"/>
    <d v="2015-11-09T00:00:00"/>
    <x v="3"/>
    <n v="11"/>
    <n v="9"/>
    <x v="3"/>
    <n v="16.317699999999999"/>
    <m/>
  </r>
  <r>
    <x v="100"/>
    <s v="ISLES OF SCILLY"/>
    <n v="233500"/>
    <d v="2012-07-18T00:00:00"/>
    <x v="16"/>
    <n v="7"/>
    <n v="18"/>
    <x v="1"/>
    <n v="16.317699999999999"/>
    <m/>
  </r>
  <r>
    <x v="101"/>
    <s v="ISLES OF SCILLY"/>
    <n v="235000"/>
    <d v="2014-03-12T00:00:00"/>
    <x v="4"/>
    <n v="3"/>
    <n v="12"/>
    <x v="0"/>
    <n v="16.317699999999999"/>
    <m/>
  </r>
  <r>
    <x v="102"/>
    <s v="ISLES OF SCILLY"/>
    <n v="235000"/>
    <d v="2014-09-24T00:00:00"/>
    <x v="4"/>
    <n v="9"/>
    <n v="24"/>
    <x v="3"/>
    <n v="16.317699999999999"/>
    <m/>
  </r>
  <r>
    <x v="103"/>
    <s v="ISLES OF SCILLY"/>
    <n v="235000"/>
    <d v="2017-04-05T00:00:00"/>
    <x v="6"/>
    <n v="4"/>
    <n v="5"/>
    <x v="3"/>
    <n v="16.317699999999999"/>
    <m/>
  </r>
  <r>
    <x v="104"/>
    <s v="ISLES OF SCILLY"/>
    <n v="240000"/>
    <d v="2004-09-08T00:00:00"/>
    <x v="2"/>
    <n v="9"/>
    <n v="8"/>
    <x v="3"/>
    <n v="16.317699999999999"/>
    <n v="2140"/>
  </r>
  <r>
    <x v="105"/>
    <s v="ISLES OF SCILLY"/>
    <n v="240000"/>
    <d v="2006-12-12T00:00:00"/>
    <x v="9"/>
    <n v="12"/>
    <n v="12"/>
    <x v="3"/>
    <n v="16.317699999999999"/>
    <n v="2140"/>
  </r>
  <r>
    <x v="106"/>
    <s v="ISLES OF SCILLY"/>
    <n v="240000"/>
    <d v="2009-09-17T00:00:00"/>
    <x v="12"/>
    <n v="9"/>
    <n v="17"/>
    <x v="3"/>
    <n v="16.317699999999999"/>
    <n v="2140"/>
  </r>
  <r>
    <x v="107"/>
    <s v="ISLES OF SCILLY"/>
    <n v="240000"/>
    <d v="2013-11-19T00:00:00"/>
    <x v="8"/>
    <n v="11"/>
    <n v="19"/>
    <x v="0"/>
    <n v="16.317699999999999"/>
    <m/>
  </r>
  <r>
    <x v="108"/>
    <s v="ISLES OF SCILLY"/>
    <n v="240000"/>
    <d v="2017-04-20T00:00:00"/>
    <x v="6"/>
    <n v="4"/>
    <n v="20"/>
    <x v="3"/>
    <n v="16.317699999999999"/>
    <m/>
  </r>
  <r>
    <x v="109"/>
    <s v="ISLES OF SCILLY"/>
    <n v="242000"/>
    <d v="2010-10-29T00:00:00"/>
    <x v="13"/>
    <n v="10"/>
    <n v="29"/>
    <x v="4"/>
    <n v="16.317699999999999"/>
    <n v="2140"/>
  </r>
  <r>
    <x v="110"/>
    <s v="ISLES OF SCILLY"/>
    <n v="244601"/>
    <d v="2011-01-07T00:00:00"/>
    <x v="11"/>
    <n v="1"/>
    <n v="7"/>
    <x v="0"/>
    <n v="16.317699999999999"/>
    <m/>
  </r>
  <r>
    <x v="111"/>
    <s v="ISLES OF SCILLY"/>
    <n v="245000"/>
    <d v="2007-09-03T00:00:00"/>
    <x v="14"/>
    <n v="9"/>
    <n v="3"/>
    <x v="3"/>
    <n v="16.317699999999999"/>
    <n v="2140"/>
  </r>
  <r>
    <x v="112"/>
    <s v="ISLES OF SCILLY"/>
    <n v="245000"/>
    <d v="2015-11-18T00:00:00"/>
    <x v="3"/>
    <n v="11"/>
    <n v="18"/>
    <x v="0"/>
    <n v="16.317699999999999"/>
    <m/>
  </r>
  <r>
    <x v="113"/>
    <s v="ISLES OF SCILLY"/>
    <n v="247500"/>
    <d v="2005-11-23T00:00:00"/>
    <x v="10"/>
    <n v="11"/>
    <n v="23"/>
    <x v="3"/>
    <n v="16.317699999999999"/>
    <n v="2140"/>
  </r>
  <r>
    <x v="114"/>
    <s v="ISLES OF SCILLY"/>
    <n v="247500"/>
    <d v="2014-08-19T00:00:00"/>
    <x v="4"/>
    <n v="8"/>
    <n v="19"/>
    <x v="2"/>
    <n v="16.317699999999999"/>
    <m/>
  </r>
  <r>
    <x v="115"/>
    <s v="ISLES OF SCILLY"/>
    <n v="248000"/>
    <d v="2002-11-20T00:00:00"/>
    <x v="5"/>
    <n v="11"/>
    <n v="20"/>
    <x v="0"/>
    <n v="16.317699999999999"/>
    <n v="2140"/>
  </r>
  <r>
    <x v="116"/>
    <s v="ISLES OF SCILLY"/>
    <n v="248000"/>
    <d v="2007-01-19T00:00:00"/>
    <x v="14"/>
    <n v="1"/>
    <n v="19"/>
    <x v="3"/>
    <n v="16.317699999999999"/>
    <n v="2140"/>
  </r>
  <r>
    <x v="117"/>
    <s v="ISLES OF SCILLY"/>
    <n v="249950"/>
    <d v="2003-01-15T00:00:00"/>
    <x v="1"/>
    <n v="1"/>
    <n v="15"/>
    <x v="3"/>
    <n v="16.317699999999999"/>
    <n v="2140"/>
  </r>
  <r>
    <x v="118"/>
    <s v="ISLES OF SCILLY"/>
    <n v="249950"/>
    <d v="2013-04-18T00:00:00"/>
    <x v="8"/>
    <n v="4"/>
    <n v="18"/>
    <x v="4"/>
    <n v="16.317699999999999"/>
    <m/>
  </r>
  <r>
    <x v="119"/>
    <s v="ISLES OF SCILLY"/>
    <n v="250000"/>
    <d v="2002-04-05T00:00:00"/>
    <x v="5"/>
    <n v="4"/>
    <n v="5"/>
    <x v="4"/>
    <n v="16.317699999999999"/>
    <n v="2140"/>
  </r>
  <r>
    <x v="120"/>
    <s v="ISLES OF SCILLY"/>
    <n v="250000"/>
    <d v="2003-05-23T00:00:00"/>
    <x v="1"/>
    <n v="5"/>
    <n v="23"/>
    <x v="3"/>
    <n v="16.317699999999999"/>
    <n v="2140"/>
  </r>
  <r>
    <x v="121"/>
    <s v="ISLES OF SCILLY"/>
    <n v="250000"/>
    <d v="2003-03-28T00:00:00"/>
    <x v="1"/>
    <n v="3"/>
    <n v="28"/>
    <x v="3"/>
    <n v="16.317699999999999"/>
    <n v="2140"/>
  </r>
  <r>
    <x v="122"/>
    <s v="ISLES OF SCILLY"/>
    <n v="250000"/>
    <d v="2004-07-16T00:00:00"/>
    <x v="2"/>
    <n v="7"/>
    <n v="16"/>
    <x v="3"/>
    <n v="16.317699999999999"/>
    <n v="2140"/>
  </r>
  <r>
    <x v="123"/>
    <s v="ISLES OF SCILLY"/>
    <n v="250000"/>
    <d v="2004-11-10T00:00:00"/>
    <x v="2"/>
    <n v="11"/>
    <n v="10"/>
    <x v="3"/>
    <n v="16.317699999999999"/>
    <n v="2140"/>
  </r>
  <r>
    <x v="124"/>
    <s v="ISLES OF SCILLY"/>
    <n v="250000"/>
    <d v="2005-05-03T00:00:00"/>
    <x v="10"/>
    <n v="5"/>
    <n v="3"/>
    <x v="3"/>
    <n v="16.317699999999999"/>
    <n v="2140"/>
  </r>
  <r>
    <x v="125"/>
    <s v="ISLES OF SCILLY"/>
    <n v="250000"/>
    <d v="2005-11-01T00:00:00"/>
    <x v="10"/>
    <n v="11"/>
    <n v="1"/>
    <x v="3"/>
    <n v="16.317699999999999"/>
    <n v="2140"/>
  </r>
  <r>
    <x v="126"/>
    <s v="ISLES OF SCILLY"/>
    <n v="250000"/>
    <d v="2007-10-18T00:00:00"/>
    <x v="14"/>
    <n v="10"/>
    <n v="18"/>
    <x v="3"/>
    <n v="16.317699999999999"/>
    <n v="2140"/>
  </r>
  <r>
    <x v="127"/>
    <s v="ISLES OF SCILLY"/>
    <n v="250000"/>
    <d v="2007-03-29T00:00:00"/>
    <x v="14"/>
    <n v="3"/>
    <n v="29"/>
    <x v="1"/>
    <n v="16.317699999999999"/>
    <n v="2140"/>
  </r>
  <r>
    <x v="128"/>
    <s v="ISLES OF SCILLY"/>
    <n v="250000"/>
    <d v="2012-11-16T00:00:00"/>
    <x v="16"/>
    <n v="11"/>
    <n v="16"/>
    <x v="1"/>
    <n v="16.317699999999999"/>
    <m/>
  </r>
  <r>
    <x v="129"/>
    <s v="ISLES OF SCILLY"/>
    <n v="250000"/>
    <d v="2012-01-12T00:00:00"/>
    <x v="16"/>
    <n v="1"/>
    <n v="12"/>
    <x v="1"/>
    <n v="16.317699999999999"/>
    <m/>
  </r>
  <r>
    <x v="130"/>
    <s v="ISLES OF SCILLY"/>
    <n v="265000"/>
    <d v="2007-11-28T00:00:00"/>
    <x v="14"/>
    <n v="11"/>
    <n v="28"/>
    <x v="3"/>
    <n v="16.317699999999999"/>
    <n v="2140"/>
  </r>
  <r>
    <x v="131"/>
    <s v="ISLES OF SCILLY"/>
    <n v="265000"/>
    <d v="2015-12-09T00:00:00"/>
    <x v="3"/>
    <n v="12"/>
    <n v="9"/>
    <x v="3"/>
    <n v="16.317699999999999"/>
    <m/>
  </r>
  <r>
    <x v="132"/>
    <s v="ISLES OF SCILLY"/>
    <n v="265000"/>
    <d v="2017-03-30T00:00:00"/>
    <x v="6"/>
    <n v="3"/>
    <n v="30"/>
    <x v="3"/>
    <n v="16.317699999999999"/>
    <m/>
  </r>
  <r>
    <x v="133"/>
    <s v="ISLES OF SCILLY"/>
    <n v="270000"/>
    <d v="2001-02-23T00:00:00"/>
    <x v="0"/>
    <n v="2"/>
    <n v="23"/>
    <x v="0"/>
    <n v="16.317699999999999"/>
    <n v="2140"/>
  </r>
  <r>
    <x v="134"/>
    <s v="ISLES OF SCILLY"/>
    <n v="270000"/>
    <d v="2003-10-31T00:00:00"/>
    <x v="1"/>
    <n v="10"/>
    <n v="31"/>
    <x v="1"/>
    <n v="16.317699999999999"/>
    <n v="2140"/>
  </r>
  <r>
    <x v="135"/>
    <s v="ISLES OF SCILLY"/>
    <n v="270000"/>
    <d v="2007-02-07T00:00:00"/>
    <x v="14"/>
    <n v="2"/>
    <n v="7"/>
    <x v="3"/>
    <n v="16.317699999999999"/>
    <n v="2140"/>
  </r>
  <r>
    <x v="136"/>
    <s v="ISLES OF SCILLY"/>
    <n v="270000"/>
    <d v="2014-05-09T00:00:00"/>
    <x v="4"/>
    <n v="5"/>
    <n v="9"/>
    <x v="4"/>
    <n v="16.317699999999999"/>
    <m/>
  </r>
  <r>
    <x v="137"/>
    <s v="ISLES OF SCILLY"/>
    <n v="270000"/>
    <d v="2015-05-01T00:00:00"/>
    <x v="3"/>
    <n v="5"/>
    <n v="1"/>
    <x v="4"/>
    <n v="16.317699999999999"/>
    <m/>
  </r>
  <r>
    <x v="138"/>
    <s v="ISLES OF SCILLY"/>
    <n v="275000"/>
    <d v="2006-10-23T00:00:00"/>
    <x v="9"/>
    <n v="10"/>
    <n v="23"/>
    <x v="3"/>
    <n v="16.317699999999999"/>
    <n v="2140"/>
  </r>
  <r>
    <x v="139"/>
    <s v="ISLES OF SCILLY"/>
    <n v="275000"/>
    <d v="2006-11-17T00:00:00"/>
    <x v="9"/>
    <n v="11"/>
    <n v="17"/>
    <x v="3"/>
    <n v="16.317699999999999"/>
    <n v="2140"/>
  </r>
  <r>
    <x v="140"/>
    <s v="ISLES OF SCILLY"/>
    <n v="275000"/>
    <d v="2008-02-01T00:00:00"/>
    <x v="15"/>
    <n v="2"/>
    <n v="1"/>
    <x v="3"/>
    <n v="16.317699999999999"/>
    <n v="2140"/>
  </r>
  <r>
    <x v="141"/>
    <s v="ISLES OF SCILLY"/>
    <n v="275000"/>
    <d v="2013-04-05T00:00:00"/>
    <x v="8"/>
    <n v="4"/>
    <n v="5"/>
    <x v="3"/>
    <n v="16.317699999999999"/>
    <m/>
  </r>
  <r>
    <x v="142"/>
    <s v="ISLES OF SCILLY"/>
    <n v="275000"/>
    <d v="2015-08-27T00:00:00"/>
    <x v="3"/>
    <n v="8"/>
    <n v="27"/>
    <x v="1"/>
    <n v="16.317699999999999"/>
    <m/>
  </r>
  <r>
    <x v="143"/>
    <s v="ISLES OF SCILLY"/>
    <n v="280000"/>
    <d v="2002-12-20T00:00:00"/>
    <x v="5"/>
    <n v="12"/>
    <n v="20"/>
    <x v="3"/>
    <n v="16.317699999999999"/>
    <n v="2140"/>
  </r>
  <r>
    <x v="144"/>
    <s v="ISLES OF SCILLY"/>
    <n v="280000"/>
    <d v="2005-03-15T00:00:00"/>
    <x v="10"/>
    <n v="3"/>
    <n v="15"/>
    <x v="3"/>
    <n v="16.317699999999999"/>
    <n v="2140"/>
  </r>
  <r>
    <x v="145"/>
    <s v="ISLES OF SCILLY"/>
    <n v="280000"/>
    <d v="2005-11-04T00:00:00"/>
    <x v="10"/>
    <n v="11"/>
    <n v="4"/>
    <x v="0"/>
    <n v="16.317699999999999"/>
    <n v="2140"/>
  </r>
  <r>
    <x v="146"/>
    <s v="ISLES OF SCILLY"/>
    <n v="280000"/>
    <d v="2016-07-04T00:00:00"/>
    <x v="7"/>
    <n v="7"/>
    <n v="4"/>
    <x v="3"/>
    <n v="16.317699999999999"/>
    <m/>
  </r>
  <r>
    <x v="147"/>
    <s v="ISLES OF SCILLY"/>
    <n v="285000"/>
    <d v="2006-08-22T00:00:00"/>
    <x v="9"/>
    <n v="8"/>
    <n v="22"/>
    <x v="3"/>
    <n v="16.317699999999999"/>
    <n v="2140"/>
  </r>
  <r>
    <x v="148"/>
    <s v="ISLES OF SCILLY"/>
    <n v="287500"/>
    <d v="2004-09-08T00:00:00"/>
    <x v="2"/>
    <n v="9"/>
    <n v="8"/>
    <x v="0"/>
    <n v="16.317699999999999"/>
    <n v="2140"/>
  </r>
  <r>
    <x v="149"/>
    <s v="ISLES OF SCILLY"/>
    <n v="287500"/>
    <d v="2006-08-10T00:00:00"/>
    <x v="9"/>
    <n v="8"/>
    <n v="10"/>
    <x v="4"/>
    <n v="16.317699999999999"/>
    <n v="2140"/>
  </r>
  <r>
    <x v="150"/>
    <s v="ISLES OF SCILLY"/>
    <n v="290000"/>
    <d v="2015-01-06T00:00:00"/>
    <x v="3"/>
    <n v="1"/>
    <n v="6"/>
    <x v="4"/>
    <n v="16.317699999999999"/>
    <m/>
  </r>
  <r>
    <x v="151"/>
    <s v="ISLES OF SCILLY"/>
    <n v="290000"/>
    <d v="2017-03-31T00:00:00"/>
    <x v="6"/>
    <n v="3"/>
    <n v="31"/>
    <x v="4"/>
    <n v="16.317699999999999"/>
    <m/>
  </r>
  <r>
    <x v="152"/>
    <s v="ISLES OF SCILLY"/>
    <n v="295000"/>
    <d v="2006-03-06T00:00:00"/>
    <x v="9"/>
    <n v="3"/>
    <n v="6"/>
    <x v="1"/>
    <n v="16.317699999999999"/>
    <n v="2140"/>
  </r>
  <r>
    <x v="153"/>
    <s v="ISLES OF SCILLY"/>
    <n v="295000"/>
    <d v="2007-03-09T00:00:00"/>
    <x v="14"/>
    <n v="3"/>
    <n v="9"/>
    <x v="3"/>
    <n v="16.317699999999999"/>
    <n v="2140"/>
  </r>
  <r>
    <x v="154"/>
    <s v="ISLES OF SCILLY"/>
    <n v="295000"/>
    <d v="2008-04-04T00:00:00"/>
    <x v="15"/>
    <n v="4"/>
    <n v="4"/>
    <x v="3"/>
    <n v="16.317699999999999"/>
    <n v="2140"/>
  </r>
  <r>
    <x v="155"/>
    <s v="ISLES OF SCILLY"/>
    <n v="295000"/>
    <d v="2016-03-23T00:00:00"/>
    <x v="7"/>
    <n v="3"/>
    <n v="23"/>
    <x v="0"/>
    <n v="16.317699999999999"/>
    <m/>
  </r>
  <r>
    <x v="156"/>
    <s v="ISLES OF SCILLY"/>
    <n v="299500"/>
    <d v="2005-11-01T00:00:00"/>
    <x v="10"/>
    <n v="11"/>
    <n v="1"/>
    <x v="3"/>
    <n v="16.317699999999999"/>
    <n v="2140"/>
  </r>
  <r>
    <x v="157"/>
    <s v="ISLES OF SCILLY"/>
    <n v="300000"/>
    <d v="2002-06-05T00:00:00"/>
    <x v="5"/>
    <n v="6"/>
    <n v="5"/>
    <x v="0"/>
    <n v="16.317699999999999"/>
    <n v="2140"/>
  </r>
  <r>
    <x v="158"/>
    <s v="ISLES OF SCILLY"/>
    <n v="300000"/>
    <d v="2003-11-25T00:00:00"/>
    <x v="1"/>
    <n v="11"/>
    <n v="25"/>
    <x v="0"/>
    <n v="16.317699999999999"/>
    <n v="2140"/>
  </r>
  <r>
    <x v="159"/>
    <s v="ISLES OF SCILLY"/>
    <n v="300000"/>
    <d v="2010-07-23T00:00:00"/>
    <x v="13"/>
    <n v="7"/>
    <n v="23"/>
    <x v="0"/>
    <n v="16.317699999999999"/>
    <n v="2140"/>
  </r>
  <r>
    <x v="160"/>
    <s v="ISLES OF SCILLY"/>
    <n v="301250"/>
    <d v="2003-12-19T00:00:00"/>
    <x v="1"/>
    <n v="12"/>
    <n v="19"/>
    <x v="0"/>
    <n v="16.317699999999999"/>
    <n v="2140"/>
  </r>
  <r>
    <x v="161"/>
    <s v="ISLES OF SCILLY"/>
    <n v="305000"/>
    <d v="2010-08-13T00:00:00"/>
    <x v="13"/>
    <n v="8"/>
    <n v="13"/>
    <x v="3"/>
    <n v="16.317699999999999"/>
    <n v="2140"/>
  </r>
  <r>
    <x v="162"/>
    <s v="ISLES OF SCILLY"/>
    <n v="305000"/>
    <d v="2016-03-14T00:00:00"/>
    <x v="7"/>
    <n v="3"/>
    <n v="14"/>
    <x v="3"/>
    <n v="16.317699999999999"/>
    <m/>
  </r>
  <r>
    <x v="163"/>
    <s v="ISLES OF SCILLY"/>
    <n v="310000"/>
    <d v="2013-11-29T00:00:00"/>
    <x v="8"/>
    <n v="11"/>
    <n v="29"/>
    <x v="4"/>
    <n v="16.317699999999999"/>
    <m/>
  </r>
  <r>
    <x v="164"/>
    <s v="ISLES OF SCILLY"/>
    <n v="310000"/>
    <d v="2015-09-01T00:00:00"/>
    <x v="3"/>
    <n v="9"/>
    <n v="1"/>
    <x v="1"/>
    <n v="16.317699999999999"/>
    <m/>
  </r>
  <r>
    <x v="165"/>
    <s v="ISLES OF SCILLY"/>
    <n v="310000"/>
    <d v="2016-09-13T00:00:00"/>
    <x v="7"/>
    <n v="9"/>
    <n v="13"/>
    <x v="0"/>
    <n v="16.317699999999999"/>
    <m/>
  </r>
  <r>
    <x v="166"/>
    <s v="ISLES OF SCILLY"/>
    <n v="313000"/>
    <d v="2009-03-30T00:00:00"/>
    <x v="12"/>
    <n v="3"/>
    <n v="30"/>
    <x v="0"/>
    <n v="16.317699999999999"/>
    <n v="2140"/>
  </r>
  <r>
    <x v="167"/>
    <s v="ISLES OF SCILLY"/>
    <n v="315000"/>
    <d v="2011-10-03T00:00:00"/>
    <x v="11"/>
    <n v="10"/>
    <n v="3"/>
    <x v="1"/>
    <n v="16.317699999999999"/>
    <m/>
  </r>
  <r>
    <x v="168"/>
    <s v="ISLES OF SCILLY"/>
    <n v="315000"/>
    <d v="2015-10-23T00:00:00"/>
    <x v="3"/>
    <n v="10"/>
    <n v="23"/>
    <x v="0"/>
    <n v="16.317699999999999"/>
    <m/>
  </r>
  <r>
    <x v="169"/>
    <s v="ISLES OF SCILLY"/>
    <n v="320000"/>
    <d v="2004-02-10T00:00:00"/>
    <x v="2"/>
    <n v="2"/>
    <n v="10"/>
    <x v="1"/>
    <n v="16.317699999999999"/>
    <n v="2140"/>
  </r>
  <r>
    <x v="170"/>
    <s v="ISLES OF SCILLY"/>
    <n v="325000"/>
    <d v="2004-01-23T00:00:00"/>
    <x v="2"/>
    <n v="1"/>
    <n v="23"/>
    <x v="3"/>
    <n v="16.317699999999999"/>
    <n v="2140"/>
  </r>
  <r>
    <x v="171"/>
    <s v="ISLES OF SCILLY"/>
    <n v="325000"/>
    <d v="2009-04-24T00:00:00"/>
    <x v="12"/>
    <n v="4"/>
    <n v="24"/>
    <x v="3"/>
    <n v="16.317699999999999"/>
    <n v="2140"/>
  </r>
  <r>
    <x v="172"/>
    <s v="ISLES OF SCILLY"/>
    <n v="325000"/>
    <d v="2012-08-06T00:00:00"/>
    <x v="16"/>
    <n v="8"/>
    <n v="6"/>
    <x v="3"/>
    <n v="16.317699999999999"/>
    <m/>
  </r>
  <r>
    <x v="173"/>
    <s v="ISLES OF SCILLY"/>
    <n v="325000"/>
    <d v="2014-11-14T00:00:00"/>
    <x v="4"/>
    <n v="11"/>
    <n v="14"/>
    <x v="0"/>
    <n v="16.317699999999999"/>
    <m/>
  </r>
  <r>
    <x v="174"/>
    <s v="ISLES OF SCILLY"/>
    <n v="325000"/>
    <d v="2017-03-31T00:00:00"/>
    <x v="6"/>
    <n v="3"/>
    <n v="31"/>
    <x v="0"/>
    <n v="16.317699999999999"/>
    <m/>
  </r>
  <r>
    <x v="175"/>
    <s v="ISLES OF SCILLY"/>
    <n v="330000"/>
    <d v="2001-11-01T00:00:00"/>
    <x v="0"/>
    <n v="11"/>
    <n v="1"/>
    <x v="0"/>
    <n v="16.317699999999999"/>
    <n v="2140"/>
  </r>
  <r>
    <x v="176"/>
    <s v="ISLES OF SCILLY"/>
    <n v="330000"/>
    <d v="2004-06-18T00:00:00"/>
    <x v="2"/>
    <n v="6"/>
    <n v="18"/>
    <x v="3"/>
    <n v="16.317699999999999"/>
    <n v="2140"/>
  </r>
  <r>
    <x v="177"/>
    <s v="ISLES OF SCILLY"/>
    <n v="330000"/>
    <d v="2012-07-18T00:00:00"/>
    <x v="16"/>
    <n v="7"/>
    <n v="18"/>
    <x v="1"/>
    <n v="16.317699999999999"/>
    <m/>
  </r>
  <r>
    <x v="178"/>
    <s v="ISLES OF SCILLY"/>
    <n v="335000"/>
    <d v="2003-08-07T00:00:00"/>
    <x v="1"/>
    <n v="8"/>
    <n v="7"/>
    <x v="4"/>
    <n v="16.317699999999999"/>
    <n v="2140"/>
  </r>
  <r>
    <x v="179"/>
    <s v="ISLES OF SCILLY"/>
    <n v="335000"/>
    <d v="2004-02-10T00:00:00"/>
    <x v="2"/>
    <n v="2"/>
    <n v="10"/>
    <x v="3"/>
    <n v="16.317699999999999"/>
    <n v="2140"/>
  </r>
  <r>
    <x v="180"/>
    <s v="ISLES OF SCILLY"/>
    <n v="335000"/>
    <d v="2006-12-15T00:00:00"/>
    <x v="9"/>
    <n v="12"/>
    <n v="15"/>
    <x v="3"/>
    <n v="16.317699999999999"/>
    <n v="2140"/>
  </r>
  <r>
    <x v="181"/>
    <s v="ISLES OF SCILLY"/>
    <n v="335000"/>
    <d v="2009-03-05T00:00:00"/>
    <x v="12"/>
    <n v="3"/>
    <n v="5"/>
    <x v="0"/>
    <n v="16.317699999999999"/>
    <n v="2140"/>
  </r>
  <r>
    <x v="182"/>
    <s v="ISLES OF SCILLY"/>
    <n v="335000"/>
    <d v="2011-04-01T00:00:00"/>
    <x v="11"/>
    <n v="4"/>
    <n v="1"/>
    <x v="4"/>
    <n v="16.317699999999999"/>
    <m/>
  </r>
  <r>
    <x v="183"/>
    <s v="ISLES OF SCILLY"/>
    <n v="335000"/>
    <d v="2012-10-24T00:00:00"/>
    <x v="16"/>
    <n v="10"/>
    <n v="24"/>
    <x v="1"/>
    <n v="16.317699999999999"/>
    <m/>
  </r>
  <r>
    <x v="184"/>
    <s v="ISLES OF SCILLY"/>
    <n v="340000"/>
    <d v="2004-11-30T00:00:00"/>
    <x v="2"/>
    <n v="11"/>
    <n v="30"/>
    <x v="0"/>
    <n v="16.317699999999999"/>
    <n v="2140"/>
  </r>
  <r>
    <x v="185"/>
    <s v="ISLES OF SCILLY"/>
    <n v="340000"/>
    <d v="2005-11-04T00:00:00"/>
    <x v="10"/>
    <n v="11"/>
    <n v="4"/>
    <x v="0"/>
    <n v="16.317699999999999"/>
    <n v="2140"/>
  </r>
  <r>
    <x v="186"/>
    <s v="ISLES OF SCILLY"/>
    <n v="340000"/>
    <d v="2012-08-17T00:00:00"/>
    <x v="16"/>
    <n v="8"/>
    <n v="17"/>
    <x v="1"/>
    <n v="16.317699999999999"/>
    <m/>
  </r>
  <r>
    <x v="187"/>
    <s v="ISLES OF SCILLY"/>
    <n v="340000"/>
    <d v="2015-05-22T00:00:00"/>
    <x v="3"/>
    <n v="5"/>
    <n v="22"/>
    <x v="3"/>
    <n v="16.317699999999999"/>
    <m/>
  </r>
  <r>
    <x v="188"/>
    <s v="ISLES OF SCILLY"/>
    <n v="342000"/>
    <d v="2004-02-19T00:00:00"/>
    <x v="2"/>
    <n v="2"/>
    <n v="19"/>
    <x v="4"/>
    <n v="16.317699999999999"/>
    <n v="2140"/>
  </r>
  <r>
    <x v="189"/>
    <s v="ISLES OF SCILLY"/>
    <n v="342500"/>
    <d v="2016-12-19T00:00:00"/>
    <x v="7"/>
    <n v="12"/>
    <n v="19"/>
    <x v="2"/>
    <n v="16.317699999999999"/>
    <m/>
  </r>
  <r>
    <x v="190"/>
    <s v="ISLES OF SCILLY"/>
    <n v="345000"/>
    <d v="2005-09-28T00:00:00"/>
    <x v="10"/>
    <n v="9"/>
    <n v="28"/>
    <x v="3"/>
    <n v="16.317699999999999"/>
    <n v="2140"/>
  </r>
  <r>
    <x v="191"/>
    <s v="ISLES OF SCILLY"/>
    <n v="345000"/>
    <d v="2011-03-23T00:00:00"/>
    <x v="11"/>
    <n v="3"/>
    <n v="23"/>
    <x v="0"/>
    <n v="16.317699999999999"/>
    <m/>
  </r>
  <r>
    <x v="192"/>
    <s v="ISLES OF SCILLY"/>
    <n v="345000"/>
    <d v="2015-07-07T00:00:00"/>
    <x v="3"/>
    <n v="7"/>
    <n v="7"/>
    <x v="0"/>
    <n v="16.317699999999999"/>
    <m/>
  </r>
  <r>
    <x v="193"/>
    <s v="ISLES OF SCILLY"/>
    <n v="345000"/>
    <d v="2016-09-15T00:00:00"/>
    <x v="7"/>
    <n v="9"/>
    <n v="15"/>
    <x v="0"/>
    <n v="16.317699999999999"/>
    <m/>
  </r>
  <r>
    <x v="194"/>
    <s v="ISLES OF SCILLY"/>
    <n v="345000"/>
    <d v="2017-06-01T00:00:00"/>
    <x v="6"/>
    <n v="6"/>
    <n v="1"/>
    <x v="3"/>
    <n v="16.317699999999999"/>
    <m/>
  </r>
  <r>
    <x v="195"/>
    <s v="ISLES OF SCILLY"/>
    <n v="350000"/>
    <d v="2001-11-01T00:00:00"/>
    <x v="0"/>
    <n v="11"/>
    <n v="1"/>
    <x v="1"/>
    <n v="16.317699999999999"/>
    <n v="2140"/>
  </r>
  <r>
    <x v="196"/>
    <s v="ISLES OF SCILLY"/>
    <n v="350000"/>
    <d v="2007-04-20T00:00:00"/>
    <x v="14"/>
    <n v="4"/>
    <n v="20"/>
    <x v="0"/>
    <n v="16.317699999999999"/>
    <n v="2140"/>
  </r>
  <r>
    <x v="197"/>
    <s v="ISLES OF SCILLY"/>
    <n v="350000"/>
    <d v="2007-09-12T00:00:00"/>
    <x v="14"/>
    <n v="9"/>
    <n v="12"/>
    <x v="0"/>
    <n v="16.317699999999999"/>
    <n v="2140"/>
  </r>
  <r>
    <x v="198"/>
    <s v="ISLES OF SCILLY"/>
    <n v="355000"/>
    <d v="2003-09-26T00:00:00"/>
    <x v="1"/>
    <n v="9"/>
    <n v="26"/>
    <x v="4"/>
    <n v="16.317699999999999"/>
    <n v="2140"/>
  </r>
  <r>
    <x v="199"/>
    <s v="ISLES OF SCILLY"/>
    <n v="355000"/>
    <d v="2007-01-19T00:00:00"/>
    <x v="14"/>
    <n v="1"/>
    <n v="19"/>
    <x v="1"/>
    <n v="16.317699999999999"/>
    <n v="2140"/>
  </r>
  <r>
    <x v="200"/>
    <s v="ISLES OF SCILLY"/>
    <n v="355000"/>
    <d v="2011-06-23T00:00:00"/>
    <x v="11"/>
    <n v="6"/>
    <n v="23"/>
    <x v="1"/>
    <n v="16.317699999999999"/>
    <m/>
  </r>
  <r>
    <x v="201"/>
    <s v="ISLES OF SCILLY"/>
    <n v="355000"/>
    <d v="2014-11-12T00:00:00"/>
    <x v="4"/>
    <n v="11"/>
    <n v="12"/>
    <x v="1"/>
    <n v="16.317699999999999"/>
    <m/>
  </r>
  <r>
    <x v="202"/>
    <s v="ISLES OF SCILLY"/>
    <n v="355000"/>
    <d v="2016-09-15T00:00:00"/>
    <x v="7"/>
    <n v="9"/>
    <n v="15"/>
    <x v="3"/>
    <n v="16.317699999999999"/>
    <m/>
  </r>
  <r>
    <x v="203"/>
    <s v="ISLES OF SCILLY"/>
    <n v="355000"/>
    <d v="2016-09-15T00:00:00"/>
    <x v="7"/>
    <n v="9"/>
    <n v="15"/>
    <x v="3"/>
    <n v="16.317699999999999"/>
    <m/>
  </r>
  <r>
    <x v="204"/>
    <s v="ISLES OF SCILLY"/>
    <n v="360000"/>
    <d v="2005-11-01T00:00:00"/>
    <x v="10"/>
    <n v="11"/>
    <n v="1"/>
    <x v="0"/>
    <n v="16.317699999999999"/>
    <n v="2140"/>
  </r>
  <r>
    <x v="205"/>
    <s v="ISLES OF SCILLY"/>
    <n v="360000"/>
    <d v="2010-09-24T00:00:00"/>
    <x v="13"/>
    <n v="9"/>
    <n v="24"/>
    <x v="1"/>
    <n v="16.317699999999999"/>
    <n v="2140"/>
  </r>
  <r>
    <x v="206"/>
    <s v="ISLES OF SCILLY"/>
    <n v="360000"/>
    <d v="2017-03-07T00:00:00"/>
    <x v="6"/>
    <n v="3"/>
    <n v="7"/>
    <x v="3"/>
    <n v="16.317699999999999"/>
    <m/>
  </r>
  <r>
    <x v="207"/>
    <s v="ISLES OF SCILLY"/>
    <n v="362500"/>
    <d v="2013-05-24T00:00:00"/>
    <x v="8"/>
    <n v="5"/>
    <n v="24"/>
    <x v="4"/>
    <n v="16.317699999999999"/>
    <m/>
  </r>
  <r>
    <x v="208"/>
    <s v="ISLES OF SCILLY"/>
    <n v="365000"/>
    <d v="2003-11-03T00:00:00"/>
    <x v="1"/>
    <n v="11"/>
    <n v="3"/>
    <x v="0"/>
    <n v="16.317699999999999"/>
    <n v="2140"/>
  </r>
  <r>
    <x v="209"/>
    <s v="ISLES OF SCILLY"/>
    <n v="365000"/>
    <d v="2006-01-13T00:00:00"/>
    <x v="9"/>
    <n v="1"/>
    <n v="13"/>
    <x v="4"/>
    <n v="16.317699999999999"/>
    <n v="2140"/>
  </r>
  <r>
    <x v="210"/>
    <s v="ISLES OF SCILLY"/>
    <n v="365000"/>
    <d v="2012-02-09T00:00:00"/>
    <x v="16"/>
    <n v="2"/>
    <n v="9"/>
    <x v="0"/>
    <n v="16.317699999999999"/>
    <m/>
  </r>
  <r>
    <x v="211"/>
    <s v="ISLES OF SCILLY"/>
    <n v="367500"/>
    <d v="2013-10-18T00:00:00"/>
    <x v="8"/>
    <n v="10"/>
    <n v="18"/>
    <x v="2"/>
    <n v="16.317699999999999"/>
    <m/>
  </r>
  <r>
    <x v="212"/>
    <s v="ISLES OF SCILLY"/>
    <n v="370000"/>
    <d v="2016-11-23T00:00:00"/>
    <x v="7"/>
    <n v="11"/>
    <n v="23"/>
    <x v="4"/>
    <n v="16.317699999999999"/>
    <m/>
  </r>
  <r>
    <x v="213"/>
    <s v="ISLES OF SCILLY"/>
    <n v="373500"/>
    <d v="2015-06-12T00:00:00"/>
    <x v="3"/>
    <n v="6"/>
    <n v="12"/>
    <x v="1"/>
    <n v="16.317699999999999"/>
    <m/>
  </r>
  <r>
    <x v="214"/>
    <s v="ISLES OF SCILLY"/>
    <n v="375000"/>
    <d v="2012-10-16T00:00:00"/>
    <x v="16"/>
    <n v="10"/>
    <n v="16"/>
    <x v="0"/>
    <n v="16.317699999999999"/>
    <m/>
  </r>
  <r>
    <x v="215"/>
    <s v="ISLES OF SCILLY"/>
    <n v="377500"/>
    <d v="2012-08-31T00:00:00"/>
    <x v="16"/>
    <n v="8"/>
    <n v="31"/>
    <x v="0"/>
    <n v="16.317699999999999"/>
    <m/>
  </r>
  <r>
    <x v="216"/>
    <s v="ISLES OF SCILLY"/>
    <n v="379000"/>
    <d v="2007-10-26T00:00:00"/>
    <x v="14"/>
    <n v="10"/>
    <n v="26"/>
    <x v="3"/>
    <n v="16.317699999999999"/>
    <n v="2140"/>
  </r>
  <r>
    <x v="217"/>
    <s v="ISLES OF SCILLY"/>
    <n v="380000"/>
    <d v="2016-03-24T00:00:00"/>
    <x v="7"/>
    <n v="3"/>
    <n v="24"/>
    <x v="0"/>
    <n v="16.317699999999999"/>
    <m/>
  </r>
  <r>
    <x v="218"/>
    <s v="ISLES OF SCILLY"/>
    <n v="380000"/>
    <d v="2016-01-22T00:00:00"/>
    <x v="7"/>
    <n v="1"/>
    <n v="22"/>
    <x v="1"/>
    <n v="16.317699999999999"/>
    <m/>
  </r>
  <r>
    <x v="219"/>
    <s v="ISLES OF SCILLY"/>
    <n v="381000"/>
    <d v="2014-10-03T00:00:00"/>
    <x v="4"/>
    <n v="10"/>
    <n v="3"/>
    <x v="4"/>
    <n v="16.317699999999999"/>
    <m/>
  </r>
  <r>
    <x v="220"/>
    <s v="ISLES OF SCILLY"/>
    <n v="385000"/>
    <d v="2003-08-07T00:00:00"/>
    <x v="1"/>
    <n v="8"/>
    <n v="7"/>
    <x v="1"/>
    <n v="16.317699999999999"/>
    <n v="2140"/>
  </r>
  <r>
    <x v="221"/>
    <s v="ISLES OF SCILLY"/>
    <n v="385000"/>
    <d v="2011-10-31T00:00:00"/>
    <x v="11"/>
    <n v="10"/>
    <n v="31"/>
    <x v="0"/>
    <n v="16.317699999999999"/>
    <m/>
  </r>
  <r>
    <x v="222"/>
    <s v="ISLES OF SCILLY"/>
    <n v="385000"/>
    <d v="2012-11-21T00:00:00"/>
    <x v="16"/>
    <n v="11"/>
    <n v="21"/>
    <x v="1"/>
    <n v="16.317699999999999"/>
    <m/>
  </r>
  <r>
    <x v="223"/>
    <s v="ISLES OF SCILLY"/>
    <n v="390000"/>
    <d v="2006-03-30T00:00:00"/>
    <x v="9"/>
    <n v="3"/>
    <n v="30"/>
    <x v="4"/>
    <n v="16.317699999999999"/>
    <n v="2140"/>
  </r>
  <r>
    <x v="224"/>
    <s v="ISLES OF SCILLY"/>
    <n v="390000"/>
    <d v="2008-07-08T00:00:00"/>
    <x v="15"/>
    <n v="7"/>
    <n v="8"/>
    <x v="0"/>
    <n v="16.317699999999999"/>
    <n v="2140"/>
  </r>
  <r>
    <x v="225"/>
    <s v="ISLES OF SCILLY"/>
    <n v="395000"/>
    <d v="2002-12-19T00:00:00"/>
    <x v="5"/>
    <n v="12"/>
    <n v="19"/>
    <x v="1"/>
    <n v="16.317699999999999"/>
    <n v="2140"/>
  </r>
  <r>
    <x v="226"/>
    <s v="ISLES OF SCILLY"/>
    <n v="395000"/>
    <d v="2015-12-11T00:00:00"/>
    <x v="3"/>
    <n v="12"/>
    <n v="11"/>
    <x v="1"/>
    <n v="16.317699999999999"/>
    <m/>
  </r>
  <r>
    <x v="227"/>
    <s v="ISLES OF SCILLY"/>
    <n v="399500"/>
    <d v="2014-06-13T00:00:00"/>
    <x v="4"/>
    <n v="6"/>
    <n v="13"/>
    <x v="3"/>
    <n v="16.317699999999999"/>
    <m/>
  </r>
  <r>
    <x v="228"/>
    <s v="ISLES OF SCILLY"/>
    <n v="400000"/>
    <d v="2003-01-31T00:00:00"/>
    <x v="1"/>
    <n v="1"/>
    <n v="31"/>
    <x v="0"/>
    <n v="16.317699999999999"/>
    <n v="2140"/>
  </r>
  <r>
    <x v="229"/>
    <s v="ISLES OF SCILLY"/>
    <n v="400000"/>
    <d v="2004-12-16T00:00:00"/>
    <x v="2"/>
    <n v="12"/>
    <n v="16"/>
    <x v="0"/>
    <n v="16.317699999999999"/>
    <n v="2140"/>
  </r>
  <r>
    <x v="230"/>
    <s v="ISLES OF SCILLY"/>
    <n v="400000"/>
    <d v="2004-12-08T00:00:00"/>
    <x v="2"/>
    <n v="12"/>
    <n v="8"/>
    <x v="1"/>
    <n v="16.317699999999999"/>
    <n v="2140"/>
  </r>
  <r>
    <x v="231"/>
    <s v="ISLES OF SCILLY"/>
    <n v="400000"/>
    <d v="2004-02-10T00:00:00"/>
    <x v="2"/>
    <n v="2"/>
    <n v="10"/>
    <x v="1"/>
    <n v="16.317699999999999"/>
    <n v="2140"/>
  </r>
  <r>
    <x v="232"/>
    <s v="ISLES OF SCILLY"/>
    <n v="400000"/>
    <d v="2016-12-20T00:00:00"/>
    <x v="7"/>
    <n v="12"/>
    <n v="20"/>
    <x v="4"/>
    <n v="16.317699999999999"/>
    <m/>
  </r>
  <r>
    <x v="233"/>
    <s v="ISLES OF SCILLY"/>
    <n v="401250"/>
    <d v="2005-09-30T00:00:00"/>
    <x v="10"/>
    <n v="9"/>
    <n v="30"/>
    <x v="1"/>
    <n v="16.317699999999999"/>
    <n v="2140"/>
  </r>
  <r>
    <x v="234"/>
    <s v="ISLES OF SCILLY"/>
    <n v="407500"/>
    <d v="2004-12-17T00:00:00"/>
    <x v="2"/>
    <n v="12"/>
    <n v="17"/>
    <x v="1"/>
    <n v="16.317699999999999"/>
    <n v="2140"/>
  </r>
  <r>
    <x v="235"/>
    <s v="ISLES OF SCILLY"/>
    <n v="410000"/>
    <d v="2015-11-18T00:00:00"/>
    <x v="3"/>
    <n v="11"/>
    <n v="18"/>
    <x v="0"/>
    <n v="16.317699999999999"/>
    <m/>
  </r>
  <r>
    <x v="236"/>
    <s v="ISLES OF SCILLY"/>
    <n v="410000"/>
    <d v="2017-02-23T00:00:00"/>
    <x v="6"/>
    <n v="2"/>
    <n v="23"/>
    <x v="4"/>
    <n v="16.317699999999999"/>
    <m/>
  </r>
  <r>
    <x v="237"/>
    <s v="ISLES OF SCILLY"/>
    <n v="415000"/>
    <d v="2010-07-19T00:00:00"/>
    <x v="13"/>
    <n v="7"/>
    <n v="19"/>
    <x v="1"/>
    <n v="16.317699999999999"/>
    <n v="2140"/>
  </r>
  <r>
    <x v="238"/>
    <s v="ISLES OF SCILLY"/>
    <n v="417500"/>
    <d v="2016-09-21T00:00:00"/>
    <x v="7"/>
    <n v="9"/>
    <n v="21"/>
    <x v="1"/>
    <n v="16.317699999999999"/>
    <m/>
  </r>
  <r>
    <x v="239"/>
    <s v="ISLES OF SCILLY"/>
    <n v="418625"/>
    <d v="2003-09-30T00:00:00"/>
    <x v="1"/>
    <n v="9"/>
    <n v="30"/>
    <x v="4"/>
    <n v="16.317699999999999"/>
    <n v="2140"/>
  </r>
  <r>
    <x v="240"/>
    <s v="ISLES OF SCILLY"/>
    <n v="420000"/>
    <d v="2006-12-05T00:00:00"/>
    <x v="9"/>
    <n v="12"/>
    <n v="5"/>
    <x v="3"/>
    <n v="16.317699999999999"/>
    <n v="2140"/>
  </r>
  <r>
    <x v="241"/>
    <s v="ISLES OF SCILLY"/>
    <n v="420000"/>
    <d v="2011-08-17T00:00:00"/>
    <x v="11"/>
    <n v="8"/>
    <n v="17"/>
    <x v="4"/>
    <n v="16.317699999999999"/>
    <m/>
  </r>
  <r>
    <x v="242"/>
    <s v="ISLES OF SCILLY"/>
    <n v="425000"/>
    <d v="2003-12-12T00:00:00"/>
    <x v="1"/>
    <n v="12"/>
    <n v="12"/>
    <x v="1"/>
    <n v="16.317699999999999"/>
    <n v="2140"/>
  </r>
  <r>
    <x v="243"/>
    <s v="ISLES OF SCILLY"/>
    <n v="425000"/>
    <d v="2003-11-18T00:00:00"/>
    <x v="1"/>
    <n v="11"/>
    <n v="18"/>
    <x v="1"/>
    <n v="16.317699999999999"/>
    <n v="2140"/>
  </r>
  <r>
    <x v="244"/>
    <s v="ISLES OF SCILLY"/>
    <n v="425000"/>
    <d v="2006-11-01T00:00:00"/>
    <x v="9"/>
    <n v="11"/>
    <n v="1"/>
    <x v="4"/>
    <n v="16.317699999999999"/>
    <n v="2140"/>
  </r>
  <r>
    <x v="245"/>
    <s v="ISLES OF SCILLY"/>
    <n v="425000"/>
    <d v="2008-01-15T00:00:00"/>
    <x v="15"/>
    <n v="1"/>
    <n v="15"/>
    <x v="4"/>
    <n v="16.317699999999999"/>
    <n v="2140"/>
  </r>
  <r>
    <x v="246"/>
    <s v="ISLES OF SCILLY"/>
    <n v="425000"/>
    <d v="2010-08-03T00:00:00"/>
    <x v="13"/>
    <n v="8"/>
    <n v="3"/>
    <x v="4"/>
    <n v="16.317699999999999"/>
    <n v="2140"/>
  </r>
  <r>
    <x v="247"/>
    <s v="ISLES OF SCILLY"/>
    <n v="425000"/>
    <d v="2011-06-17T00:00:00"/>
    <x v="11"/>
    <n v="6"/>
    <n v="17"/>
    <x v="3"/>
    <n v="16.317699999999999"/>
    <m/>
  </r>
  <r>
    <x v="248"/>
    <s v="ISLES OF SCILLY"/>
    <n v="430000"/>
    <d v="2003-06-04T00:00:00"/>
    <x v="1"/>
    <n v="6"/>
    <n v="4"/>
    <x v="1"/>
    <n v="16.317699999999999"/>
    <n v="2140"/>
  </r>
  <r>
    <x v="249"/>
    <s v="ISLES OF SCILLY"/>
    <n v="430000"/>
    <d v="2007-01-31T00:00:00"/>
    <x v="14"/>
    <n v="1"/>
    <n v="31"/>
    <x v="1"/>
    <n v="16.317699999999999"/>
    <n v="2140"/>
  </r>
  <r>
    <x v="250"/>
    <s v="ISLES OF SCILLY"/>
    <n v="430000"/>
    <d v="2007-10-31T00:00:00"/>
    <x v="14"/>
    <n v="10"/>
    <n v="31"/>
    <x v="0"/>
    <n v="16.317699999999999"/>
    <n v="2140"/>
  </r>
  <r>
    <x v="251"/>
    <s v="ISLES OF SCILLY"/>
    <n v="430000"/>
    <d v="2017-01-06T00:00:00"/>
    <x v="6"/>
    <n v="1"/>
    <n v="6"/>
    <x v="4"/>
    <n v="16.317699999999999"/>
    <m/>
  </r>
  <r>
    <x v="252"/>
    <s v="ISLES OF SCILLY"/>
    <n v="432500"/>
    <d v="2016-03-29T00:00:00"/>
    <x v="7"/>
    <n v="3"/>
    <n v="29"/>
    <x v="0"/>
    <n v="16.317699999999999"/>
    <m/>
  </r>
  <r>
    <x v="253"/>
    <s v="ISLES OF SCILLY"/>
    <n v="435000"/>
    <d v="2006-01-11T00:00:00"/>
    <x v="9"/>
    <n v="1"/>
    <n v="11"/>
    <x v="1"/>
    <n v="16.317699999999999"/>
    <n v="2140"/>
  </r>
  <r>
    <x v="254"/>
    <s v="ISLES OF SCILLY"/>
    <n v="437500"/>
    <d v="2006-10-03T00:00:00"/>
    <x v="9"/>
    <n v="10"/>
    <n v="3"/>
    <x v="0"/>
    <n v="16.317699999999999"/>
    <n v="2140"/>
  </r>
  <r>
    <x v="255"/>
    <s v="ISLES OF SCILLY"/>
    <n v="439635"/>
    <d v="2006-09-29T00:00:00"/>
    <x v="9"/>
    <n v="9"/>
    <n v="29"/>
    <x v="0"/>
    <n v="16.317699999999999"/>
    <n v="2140"/>
  </r>
  <r>
    <x v="256"/>
    <s v="ISLES OF SCILLY"/>
    <n v="440000"/>
    <d v="2016-05-25T00:00:00"/>
    <x v="7"/>
    <n v="5"/>
    <n v="25"/>
    <x v="1"/>
    <n v="16.317699999999999"/>
    <m/>
  </r>
  <r>
    <x v="257"/>
    <s v="ISLES OF SCILLY"/>
    <n v="445000"/>
    <d v="2005-09-02T00:00:00"/>
    <x v="10"/>
    <n v="9"/>
    <n v="2"/>
    <x v="0"/>
    <n v="16.317699999999999"/>
    <n v="2140"/>
  </r>
  <r>
    <x v="258"/>
    <s v="ISLES OF SCILLY"/>
    <n v="445000"/>
    <d v="2012-02-08T00:00:00"/>
    <x v="16"/>
    <n v="2"/>
    <n v="8"/>
    <x v="0"/>
    <n v="16.317699999999999"/>
    <m/>
  </r>
  <r>
    <x v="259"/>
    <s v="ISLES OF SCILLY"/>
    <n v="445000"/>
    <d v="2016-10-17T00:00:00"/>
    <x v="7"/>
    <n v="10"/>
    <n v="17"/>
    <x v="2"/>
    <n v="16.317699999999999"/>
    <m/>
  </r>
  <r>
    <x v="260"/>
    <s v="ISLES OF SCILLY"/>
    <n v="450000"/>
    <d v="2003-07-11T00:00:00"/>
    <x v="1"/>
    <n v="7"/>
    <n v="11"/>
    <x v="1"/>
    <n v="16.317699999999999"/>
    <n v="2140"/>
  </r>
  <r>
    <x v="261"/>
    <s v="ISLES OF SCILLY"/>
    <n v="450000"/>
    <d v="2007-11-08T00:00:00"/>
    <x v="14"/>
    <n v="11"/>
    <n v="8"/>
    <x v="1"/>
    <n v="16.317699999999999"/>
    <n v="2140"/>
  </r>
  <r>
    <x v="262"/>
    <s v="ISLES OF SCILLY"/>
    <n v="450000"/>
    <d v="2009-02-27T00:00:00"/>
    <x v="12"/>
    <n v="2"/>
    <n v="27"/>
    <x v="0"/>
    <n v="16.317699999999999"/>
    <n v="2140"/>
  </r>
  <r>
    <x v="263"/>
    <s v="ISLES OF SCILLY"/>
    <n v="458000"/>
    <d v="2014-10-24T00:00:00"/>
    <x v="4"/>
    <n v="10"/>
    <n v="24"/>
    <x v="0"/>
    <n v="16.317699999999999"/>
    <m/>
  </r>
  <r>
    <x v="264"/>
    <s v="ISLES OF SCILLY"/>
    <n v="460000"/>
    <d v="2014-06-20T00:00:00"/>
    <x v="4"/>
    <n v="6"/>
    <n v="20"/>
    <x v="4"/>
    <n v="16.317699999999999"/>
    <m/>
  </r>
  <r>
    <x v="265"/>
    <s v="ISLES OF SCILLY"/>
    <n v="460000"/>
    <d v="2014-11-12T00:00:00"/>
    <x v="4"/>
    <n v="11"/>
    <n v="12"/>
    <x v="1"/>
    <n v="16.317699999999999"/>
    <m/>
  </r>
  <r>
    <x v="266"/>
    <s v="ISLES OF SCILLY"/>
    <n v="470000"/>
    <d v="2006-11-17T00:00:00"/>
    <x v="9"/>
    <n v="11"/>
    <n v="17"/>
    <x v="3"/>
    <n v="16.317699999999999"/>
    <n v="2140"/>
  </r>
  <r>
    <x v="267"/>
    <s v="ISLES OF SCILLY"/>
    <n v="475000"/>
    <d v="2002-11-07T00:00:00"/>
    <x v="5"/>
    <n v="11"/>
    <n v="7"/>
    <x v="1"/>
    <n v="16.317699999999999"/>
    <n v="2140"/>
  </r>
  <r>
    <x v="268"/>
    <s v="ISLES OF SCILLY"/>
    <n v="475000"/>
    <d v="2006-01-12T00:00:00"/>
    <x v="9"/>
    <n v="1"/>
    <n v="12"/>
    <x v="0"/>
    <n v="16.317699999999999"/>
    <n v="2140"/>
  </r>
  <r>
    <x v="269"/>
    <s v="ISLES OF SCILLY"/>
    <n v="475000"/>
    <d v="2016-03-11T00:00:00"/>
    <x v="7"/>
    <n v="3"/>
    <n v="11"/>
    <x v="1"/>
    <n v="16.317699999999999"/>
    <m/>
  </r>
  <r>
    <x v="270"/>
    <s v="ISLES OF SCILLY"/>
    <n v="480000"/>
    <d v="2006-11-10T00:00:00"/>
    <x v="9"/>
    <n v="11"/>
    <n v="10"/>
    <x v="1"/>
    <n v="16.317699999999999"/>
    <n v="2140"/>
  </r>
  <r>
    <x v="271"/>
    <s v="ISLES OF SCILLY"/>
    <n v="480000"/>
    <d v="2009-09-18T00:00:00"/>
    <x v="12"/>
    <n v="9"/>
    <n v="18"/>
    <x v="0"/>
    <n v="16.317699999999999"/>
    <n v="2140"/>
  </r>
  <r>
    <x v="272"/>
    <s v="ISLES OF SCILLY"/>
    <n v="480000"/>
    <d v="2016-11-04T00:00:00"/>
    <x v="7"/>
    <n v="11"/>
    <n v="4"/>
    <x v="2"/>
    <n v="16.317699999999999"/>
    <m/>
  </r>
  <r>
    <x v="273"/>
    <s v="ISLES OF SCILLY"/>
    <n v="485000"/>
    <d v="2006-05-24T00:00:00"/>
    <x v="9"/>
    <n v="5"/>
    <n v="24"/>
    <x v="0"/>
    <n v="16.317699999999999"/>
    <n v="2140"/>
  </r>
  <r>
    <x v="274"/>
    <s v="ISLES OF SCILLY"/>
    <n v="490000"/>
    <d v="2004-08-12T00:00:00"/>
    <x v="2"/>
    <n v="8"/>
    <n v="12"/>
    <x v="1"/>
    <n v="16.317699999999999"/>
    <n v="2140"/>
  </r>
  <r>
    <x v="275"/>
    <s v="ISLES OF SCILLY"/>
    <n v="490000"/>
    <d v="2005-07-12T00:00:00"/>
    <x v="10"/>
    <n v="7"/>
    <n v="12"/>
    <x v="0"/>
    <n v="16.317699999999999"/>
    <n v="2140"/>
  </r>
  <r>
    <x v="276"/>
    <s v="ISLES OF SCILLY"/>
    <n v="495000"/>
    <d v="2007-03-05T00:00:00"/>
    <x v="14"/>
    <n v="3"/>
    <n v="5"/>
    <x v="1"/>
    <n v="16.317699999999999"/>
    <n v="2140"/>
  </r>
  <r>
    <x v="277"/>
    <s v="ISLES OF SCILLY"/>
    <n v="495000"/>
    <d v="2009-02-09T00:00:00"/>
    <x v="12"/>
    <n v="2"/>
    <n v="9"/>
    <x v="0"/>
    <n v="16.317699999999999"/>
    <n v="2140"/>
  </r>
  <r>
    <x v="278"/>
    <s v="ISLES OF SCILLY"/>
    <n v="495000"/>
    <d v="2011-09-28T00:00:00"/>
    <x v="11"/>
    <n v="9"/>
    <n v="28"/>
    <x v="0"/>
    <n v="16.317699999999999"/>
    <m/>
  </r>
  <r>
    <x v="279"/>
    <s v="ISLES OF SCILLY"/>
    <n v="495000"/>
    <d v="2013-03-28T00:00:00"/>
    <x v="8"/>
    <n v="3"/>
    <n v="28"/>
    <x v="1"/>
    <n v="16.317699999999999"/>
    <m/>
  </r>
  <r>
    <x v="280"/>
    <s v="ISLES OF SCILLY"/>
    <n v="495000"/>
    <d v="2015-06-12T00:00:00"/>
    <x v="3"/>
    <n v="6"/>
    <n v="12"/>
    <x v="1"/>
    <n v="16.317699999999999"/>
    <m/>
  </r>
  <r>
    <x v="281"/>
    <s v="ISLES OF SCILLY"/>
    <n v="499000"/>
    <d v="2003-06-13T00:00:00"/>
    <x v="1"/>
    <n v="6"/>
    <n v="13"/>
    <x v="1"/>
    <n v="16.317699999999999"/>
    <n v="2140"/>
  </r>
  <r>
    <x v="282"/>
    <s v="ISLES OF SCILLY"/>
    <n v="500000"/>
    <d v="2010-10-06T00:00:00"/>
    <x v="13"/>
    <n v="10"/>
    <n v="6"/>
    <x v="0"/>
    <n v="16.317699999999999"/>
    <n v="2140"/>
  </r>
  <r>
    <x v="283"/>
    <s v="ISLES OF SCILLY"/>
    <n v="500000"/>
    <d v="2013-08-16T00:00:00"/>
    <x v="8"/>
    <n v="8"/>
    <n v="16"/>
    <x v="1"/>
    <n v="16.317699999999999"/>
    <m/>
  </r>
  <r>
    <x v="284"/>
    <s v="ISLES OF SCILLY"/>
    <n v="505000"/>
    <d v="2006-10-09T00:00:00"/>
    <x v="9"/>
    <n v="10"/>
    <n v="9"/>
    <x v="1"/>
    <n v="16.317699999999999"/>
    <n v="2140"/>
  </r>
  <r>
    <x v="285"/>
    <s v="ISLES OF SCILLY"/>
    <n v="515000"/>
    <d v="2011-08-19T00:00:00"/>
    <x v="11"/>
    <n v="8"/>
    <n v="19"/>
    <x v="0"/>
    <n v="16.317699999999999"/>
    <m/>
  </r>
  <r>
    <x v="286"/>
    <s v="ISLES OF SCILLY"/>
    <n v="516000"/>
    <d v="2003-01-07T00:00:00"/>
    <x v="1"/>
    <n v="1"/>
    <n v="7"/>
    <x v="1"/>
    <n v="16.317699999999999"/>
    <n v="2140"/>
  </r>
  <r>
    <x v="287"/>
    <s v="ISLES OF SCILLY"/>
    <n v="533000"/>
    <d v="2004-01-30T00:00:00"/>
    <x v="2"/>
    <n v="1"/>
    <n v="30"/>
    <x v="1"/>
    <n v="16.317699999999999"/>
    <n v="2140"/>
  </r>
  <r>
    <x v="288"/>
    <s v="ISLES OF SCILLY"/>
    <n v="545000"/>
    <d v="2006-10-30T00:00:00"/>
    <x v="9"/>
    <n v="10"/>
    <n v="30"/>
    <x v="1"/>
    <n v="16.317699999999999"/>
    <n v="2140"/>
  </r>
  <r>
    <x v="289"/>
    <s v="ISLES OF SCILLY"/>
    <n v="550000"/>
    <d v="2003-05-30T00:00:00"/>
    <x v="1"/>
    <n v="5"/>
    <n v="30"/>
    <x v="3"/>
    <n v="16.317699999999999"/>
    <n v="2140"/>
  </r>
  <r>
    <x v="290"/>
    <s v="ISLES OF SCILLY"/>
    <n v="550000"/>
    <d v="2014-11-28T00:00:00"/>
    <x v="4"/>
    <n v="11"/>
    <n v="28"/>
    <x v="1"/>
    <n v="16.317699999999999"/>
    <m/>
  </r>
  <r>
    <x v="291"/>
    <s v="ISLES OF SCILLY"/>
    <n v="555000"/>
    <d v="2009-02-09T00:00:00"/>
    <x v="12"/>
    <n v="2"/>
    <n v="9"/>
    <x v="1"/>
    <n v="16.317699999999999"/>
    <n v="2140"/>
  </r>
  <r>
    <x v="292"/>
    <s v="ISLES OF SCILLY"/>
    <n v="590000"/>
    <d v="2007-08-30T00:00:00"/>
    <x v="14"/>
    <n v="8"/>
    <n v="30"/>
    <x v="0"/>
    <n v="16.317699999999999"/>
    <n v="2140"/>
  </r>
  <r>
    <x v="293"/>
    <s v="ISLES OF SCILLY"/>
    <n v="600000"/>
    <d v="2006-03-31T00:00:00"/>
    <x v="9"/>
    <n v="3"/>
    <n v="31"/>
    <x v="1"/>
    <n v="16.317699999999999"/>
    <n v="2140"/>
  </r>
  <r>
    <x v="294"/>
    <s v="ISLES OF SCILLY"/>
    <n v="620000"/>
    <d v="2007-03-01T00:00:00"/>
    <x v="14"/>
    <n v="3"/>
    <n v="1"/>
    <x v="1"/>
    <n v="16.317699999999999"/>
    <n v="2140"/>
  </r>
  <r>
    <x v="295"/>
    <s v="ISLES OF SCILLY"/>
    <n v="625000"/>
    <d v="2013-10-09T00:00:00"/>
    <x v="8"/>
    <n v="10"/>
    <n v="9"/>
    <x v="4"/>
    <n v="16.317699999999999"/>
    <m/>
  </r>
  <r>
    <x v="296"/>
    <s v="ISLES OF SCILLY"/>
    <n v="650000"/>
    <d v="2008-03-04T00:00:00"/>
    <x v="15"/>
    <n v="3"/>
    <n v="4"/>
    <x v="0"/>
    <n v="16.317699999999999"/>
    <n v="2140"/>
  </r>
  <r>
    <x v="297"/>
    <s v="ISLES OF SCILLY"/>
    <n v="655022"/>
    <d v="2017-01-17T00:00:00"/>
    <x v="6"/>
    <n v="1"/>
    <n v="17"/>
    <x v="2"/>
    <n v="16.317699999999999"/>
    <m/>
  </r>
  <r>
    <x v="298"/>
    <s v="ISLES OF SCILLY"/>
    <n v="659000"/>
    <d v="2010-10-29T00:00:00"/>
    <x v="13"/>
    <n v="10"/>
    <n v="29"/>
    <x v="4"/>
    <n v="16.317699999999999"/>
    <n v="2140"/>
  </r>
  <r>
    <x v="299"/>
    <s v="ISLES OF SCILLY"/>
    <n v="700000"/>
    <d v="2009-07-03T00:00:00"/>
    <x v="12"/>
    <n v="7"/>
    <n v="3"/>
    <x v="0"/>
    <n v="16.317699999999999"/>
    <n v="2140"/>
  </r>
  <r>
    <x v="300"/>
    <s v="ISLES OF SCILLY"/>
    <n v="710000"/>
    <d v="2016-12-15T00:00:00"/>
    <x v="7"/>
    <n v="12"/>
    <n v="15"/>
    <x v="2"/>
    <n v="16.317699999999999"/>
    <m/>
  </r>
  <r>
    <x v="301"/>
    <s v="ISLES OF SCILLY"/>
    <n v="715000"/>
    <d v="2016-11-28T00:00:00"/>
    <x v="7"/>
    <n v="11"/>
    <n v="28"/>
    <x v="2"/>
    <n v="16.317699999999999"/>
    <m/>
  </r>
  <r>
    <x v="302"/>
    <s v="ISLES OF SCILLY"/>
    <n v="720000"/>
    <d v="2011-04-20T00:00:00"/>
    <x v="11"/>
    <n v="4"/>
    <n v="20"/>
    <x v="1"/>
    <n v="16.317699999999999"/>
    <m/>
  </r>
  <r>
    <x v="303"/>
    <s v="ISLES OF SCILLY"/>
    <n v="735000"/>
    <d v="2012-01-27T00:00:00"/>
    <x v="16"/>
    <n v="1"/>
    <n v="27"/>
    <x v="1"/>
    <n v="16.317699999999999"/>
    <m/>
  </r>
  <r>
    <x v="304"/>
    <s v="ISLES OF SCILLY"/>
    <n v="750000"/>
    <d v="2006-11-15T00:00:00"/>
    <x v="9"/>
    <n v="11"/>
    <n v="15"/>
    <x v="1"/>
    <n v="16.317699999999999"/>
    <n v="2140"/>
  </r>
  <r>
    <x v="305"/>
    <s v="ISLES OF SCILLY"/>
    <n v="760000"/>
    <d v="2009-07-03T00:00:00"/>
    <x v="12"/>
    <n v="7"/>
    <n v="3"/>
    <x v="0"/>
    <n v="16.317699999999999"/>
    <n v="2140"/>
  </r>
  <r>
    <x v="306"/>
    <s v="ISLES OF SCILLY"/>
    <n v="980000"/>
    <d v="2016-03-31T00:00:00"/>
    <x v="7"/>
    <n v="3"/>
    <n v="31"/>
    <x v="2"/>
    <n v="16.317699999999999"/>
    <m/>
  </r>
  <r>
    <x v="307"/>
    <s v="ISLES OF SCILLY"/>
    <n v="1100000"/>
    <d v="2017-05-17T00:00:00"/>
    <x v="6"/>
    <n v="5"/>
    <n v="17"/>
    <x v="2"/>
    <n v="16.317699999999999"/>
    <m/>
  </r>
  <r>
    <x v="308"/>
    <s v="ISLES OF SCILLY"/>
    <n v="1375000"/>
    <d v="2007-10-19T00:00:00"/>
    <x v="14"/>
    <n v="10"/>
    <n v="19"/>
    <x v="1"/>
    <n v="16.317699999999999"/>
    <n v="2140"/>
  </r>
  <r>
    <x v="309"/>
    <s v="ISLES OF SCILLY"/>
    <n v="1555496"/>
    <d v="2015-04-24T00:00:00"/>
    <x v="3"/>
    <n v="4"/>
    <n v="24"/>
    <x v="2"/>
    <n v="16.31769999999999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G20" firstHeaderRow="1" firstDataRow="2" firstDataCol="1"/>
  <pivotFields count="10">
    <pivotField showAll="0">
      <items count="311">
        <item x="7"/>
        <item x="175"/>
        <item x="51"/>
        <item x="78"/>
        <item x="59"/>
        <item x="32"/>
        <item x="42"/>
        <item x="133"/>
        <item x="19"/>
        <item x="43"/>
        <item x="12"/>
        <item x="79"/>
        <item x="30"/>
        <item x="0"/>
        <item x="82"/>
        <item x="195"/>
        <item x="16"/>
        <item x="18"/>
        <item x="38"/>
        <item x="87"/>
        <item x="17"/>
        <item x="119"/>
        <item x="115"/>
        <item x="94"/>
        <item x="267"/>
        <item x="8"/>
        <item x="60"/>
        <item x="33"/>
        <item x="27"/>
        <item x="157"/>
        <item x="88"/>
        <item x="225"/>
        <item x="143"/>
        <item x="11"/>
        <item x="61"/>
        <item x="228"/>
        <item x="6"/>
        <item x="286"/>
        <item x="1"/>
        <item x="248"/>
        <item x="239"/>
        <item x="208"/>
        <item x="28"/>
        <item x="62"/>
        <item x="160"/>
        <item x="158"/>
        <item x="117"/>
        <item x="220"/>
        <item x="289"/>
        <item x="134"/>
        <item x="178"/>
        <item x="46"/>
        <item x="120"/>
        <item x="63"/>
        <item x="281"/>
        <item x="242"/>
        <item x="260"/>
        <item x="9"/>
        <item x="121"/>
        <item x="198"/>
        <item x="24"/>
        <item x="243"/>
        <item x="170"/>
        <item x="68"/>
        <item x="122"/>
        <item x="95"/>
        <item x="179"/>
        <item x="56"/>
        <item x="184"/>
        <item x="176"/>
        <item x="274"/>
        <item x="229"/>
        <item x="10"/>
        <item x="230"/>
        <item x="89"/>
        <item x="287"/>
        <item x="31"/>
        <item x="14"/>
        <item x="2"/>
        <item x="234"/>
        <item x="148"/>
        <item x="20"/>
        <item x="188"/>
        <item x="104"/>
        <item x="123"/>
        <item x="169"/>
        <item x="231"/>
        <item x="83"/>
        <item x="124"/>
        <item x="125"/>
        <item x="257"/>
        <item x="190"/>
        <item x="156"/>
        <item x="204"/>
        <item x="113"/>
        <item x="29"/>
        <item x="144"/>
        <item x="275"/>
        <item x="233"/>
        <item x="185"/>
        <item x="81"/>
        <item x="145"/>
        <item x="284"/>
        <item x="253"/>
        <item x="25"/>
        <item x="152"/>
        <item x="288"/>
        <item x="73"/>
        <item x="244"/>
        <item x="254"/>
        <item x="240"/>
        <item x="50"/>
        <item x="266"/>
        <item x="304"/>
        <item x="209"/>
        <item x="149"/>
        <item x="223"/>
        <item x="180"/>
        <item x="105"/>
        <item x="147"/>
        <item x="138"/>
        <item x="273"/>
        <item x="255"/>
        <item x="64"/>
        <item x="139"/>
        <item x="293"/>
        <item x="268"/>
        <item x="270"/>
        <item x="249"/>
        <item x="308"/>
        <item x="47"/>
        <item x="116"/>
        <item x="250"/>
        <item x="130"/>
        <item x="126"/>
        <item x="199"/>
        <item x="135"/>
        <item x="153"/>
        <item x="127"/>
        <item x="292"/>
        <item x="196"/>
        <item x="76"/>
        <item x="57"/>
        <item x="294"/>
        <item x="261"/>
        <item x="216"/>
        <item x="111"/>
        <item x="197"/>
        <item x="276"/>
        <item x="96"/>
        <item x="48"/>
        <item x="245"/>
        <item x="140"/>
        <item x="296"/>
        <item x="97"/>
        <item x="154"/>
        <item x="224"/>
        <item x="271"/>
        <item x="291"/>
        <item x="262"/>
        <item x="299"/>
        <item x="171"/>
        <item x="181"/>
        <item x="305"/>
        <item x="77"/>
        <item x="166"/>
        <item x="44"/>
        <item x="277"/>
        <item x="98"/>
        <item x="106"/>
        <item x="90"/>
        <item x="205"/>
        <item x="282"/>
        <item x="298"/>
        <item x="109"/>
        <item x="237"/>
        <item x="159"/>
        <item x="52"/>
        <item x="45"/>
        <item x="246"/>
        <item x="54"/>
        <item x="161"/>
        <item x="278"/>
        <item x="80"/>
        <item x="285"/>
        <item x="91"/>
        <item x="191"/>
        <item x="241"/>
        <item x="84"/>
        <item x="182"/>
        <item x="55"/>
        <item x="39"/>
        <item x="200"/>
        <item x="247"/>
        <item x="221"/>
        <item x="65"/>
        <item x="167"/>
        <item x="302"/>
        <item x="110"/>
        <item x="183"/>
        <item x="222"/>
        <item x="128"/>
        <item x="177"/>
        <item x="303"/>
        <item x="129"/>
        <item x="215"/>
        <item x="210"/>
        <item x="258"/>
        <item x="214"/>
        <item x="100"/>
        <item x="172"/>
        <item x="186"/>
        <item x="21"/>
        <item x="279"/>
        <item x="283"/>
        <item x="207"/>
        <item x="295"/>
        <item x="71"/>
        <item x="141"/>
        <item x="69"/>
        <item x="118"/>
        <item x="163"/>
        <item x="107"/>
        <item x="211"/>
        <item x="264"/>
        <item x="173"/>
        <item x="93"/>
        <item x="101"/>
        <item x="58"/>
        <item x="227"/>
        <item x="290"/>
        <item x="136"/>
        <item x="66"/>
        <item x="36"/>
        <item x="263"/>
        <item x="102"/>
        <item x="201"/>
        <item x="34"/>
        <item x="37"/>
        <item x="219"/>
        <item x="86"/>
        <item x="265"/>
        <item x="114"/>
        <item x="5"/>
        <item x="150"/>
        <item x="99"/>
        <item x="75"/>
        <item x="112"/>
        <item x="137"/>
        <item x="3"/>
        <item x="280"/>
        <item x="92"/>
        <item x="226"/>
        <item x="131"/>
        <item x="187"/>
        <item x="213"/>
        <item x="4"/>
        <item x="164"/>
        <item x="142"/>
        <item x="309"/>
        <item x="67"/>
        <item x="192"/>
        <item x="168"/>
        <item x="85"/>
        <item x="235"/>
        <item x="217"/>
        <item x="41"/>
        <item x="252"/>
        <item x="70"/>
        <item x="193"/>
        <item x="256"/>
        <item x="202"/>
        <item x="165"/>
        <item x="238"/>
        <item x="300"/>
        <item x="146"/>
        <item x="301"/>
        <item x="269"/>
        <item x="155"/>
        <item x="72"/>
        <item x="162"/>
        <item x="22"/>
        <item x="74"/>
        <item x="212"/>
        <item x="306"/>
        <item x="189"/>
        <item x="272"/>
        <item x="203"/>
        <item x="218"/>
        <item x="40"/>
        <item x="26"/>
        <item x="23"/>
        <item x="232"/>
        <item x="15"/>
        <item x="49"/>
        <item x="259"/>
        <item x="194"/>
        <item x="236"/>
        <item x="35"/>
        <item x="108"/>
        <item x="151"/>
        <item x="206"/>
        <item x="53"/>
        <item x="13"/>
        <item x="307"/>
        <item x="103"/>
        <item x="251"/>
        <item x="132"/>
        <item x="174"/>
        <item x="297"/>
        <item t="default"/>
      </items>
    </pivotField>
    <pivotField showAll="0"/>
    <pivotField dataField="1" showAll="0"/>
    <pivotField numFmtId="14" showAll="0"/>
    <pivotField axis="axisRow" showAll="0">
      <items count="18">
        <item x="0"/>
        <item x="5"/>
        <item x="1"/>
        <item x="2"/>
        <item x="10"/>
        <item x="9"/>
        <item x="14"/>
        <item x="15"/>
        <item x="12"/>
        <item x="13"/>
        <item x="11"/>
        <item x="16"/>
        <item x="8"/>
        <item x="4"/>
        <item x="3"/>
        <item x="7"/>
        <item x="6"/>
        <item t="default"/>
      </items>
    </pivotField>
    <pivotField showAll="0"/>
    <pivotField showAll="0"/>
    <pivotField axis="axisCol" showAll="0">
      <items count="6">
        <item x="1"/>
        <item x="3"/>
        <item x="2"/>
        <item x="4"/>
        <item x="0"/>
        <item t="default"/>
      </items>
    </pivotField>
    <pivotField showAll="0"/>
    <pivotField showAll="0"/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rice" fld="2" subtotal="count" showDataAs="percentOfRow" baseField="0" baseItem="0" numFmtId="10"/>
  </dataFields>
  <chartFormats count="5"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purl.oclc.org/ooxml/spreadsheetml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309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E9A693F5-09B3-6948-8D46-9A7F4ABCE816}">
  <we:reference id="db18cc72-1a17-45df-b60e-7ffb655e8af5" version="1.0.0.2" store="EXCatalog" storeType="EXCatalog"/>
  <we:alternateReferences>
    <we:reference id="WA104381701" version="1.0.0.2" store="en-GB" storeType="OMEX"/>
  </we:alternateReferences>
  <we:properties/>
  <we:bindings/>
  <we:snapshot xmlns:r="http://purl.oclc.org/ooxml/officeDocument/relationships"/>
</we:webextension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J311"/>
  <sheetViews>
    <sheetView topLeftCell="B1" zoomScale="185" zoomScaleNormal="185" workbookViewId="0">
      <selection activeCell="C1" sqref="C1:D1048576"/>
    </sheetView>
  </sheetViews>
  <sheetFormatPr baseColWidth="10" defaultRowHeight="16" x14ac:dyDescent="0.2"/>
  <cols>
    <col min="8" max="8" width="14.6640625" customWidth="1"/>
  </cols>
  <sheetData>
    <row r="1" spans="1:10" x14ac:dyDescent="0.2">
      <c r="A1" t="e" cm="1" vm="1">
        <f t="array" aca="1" ref="A1" ca="1">data!C2:C311</f>
        <v>#VALUE!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4766914</v>
      </c>
      <c r="B2" t="s">
        <v>9</v>
      </c>
      <c r="C2">
        <v>22500</v>
      </c>
      <c r="D2" s="1" t="d">
        <v>2001-02-22</v>
      </c>
      <c r="E2">
        <v>2001</v>
      </c>
      <c r="F2">
        <v>2</v>
      </c>
      <c r="G2">
        <v>22</v>
      </c>
      <c r="H2" t="s">
        <v>11</v>
      </c>
      <c r="I2">
        <v>16.317699999999999</v>
      </c>
      <c r="J2">
        <v>2140</v>
      </c>
    </row>
    <row r="3" spans="1:10" x14ac:dyDescent="0.2">
      <c r="A3">
        <v>4766939</v>
      </c>
      <c r="B3" t="s">
        <v>9</v>
      </c>
      <c r="C3">
        <v>31735</v>
      </c>
      <c r="D3" s="1" t="d">
        <v>2003-02-18</v>
      </c>
      <c r="E3">
        <v>2003</v>
      </c>
      <c r="F3">
        <v>2</v>
      </c>
      <c r="G3">
        <v>18</v>
      </c>
      <c r="H3" t="s">
        <v>12</v>
      </c>
      <c r="I3">
        <v>16.317699999999999</v>
      </c>
      <c r="J3">
        <v>2140</v>
      </c>
    </row>
    <row r="4" spans="1:10" x14ac:dyDescent="0.2">
      <c r="A4">
        <v>4766979</v>
      </c>
      <c r="B4" t="s">
        <v>9</v>
      </c>
      <c r="C4">
        <v>37725</v>
      </c>
      <c r="D4" s="1" t="d">
        <v>2004-03-05</v>
      </c>
      <c r="E4">
        <v>2004</v>
      </c>
      <c r="F4">
        <v>3</v>
      </c>
      <c r="G4">
        <v>5</v>
      </c>
      <c r="H4" t="s">
        <v>12</v>
      </c>
      <c r="I4">
        <v>16.317699999999999</v>
      </c>
      <c r="J4">
        <v>2140</v>
      </c>
    </row>
    <row r="5" spans="1:10" x14ac:dyDescent="0.2">
      <c r="A5">
        <v>7620007</v>
      </c>
      <c r="B5" t="s">
        <v>9</v>
      </c>
      <c r="C5">
        <v>39500</v>
      </c>
      <c r="D5" s="1" t="d">
        <v>2015-08-11</v>
      </c>
      <c r="E5">
        <v>2015</v>
      </c>
      <c r="F5">
        <v>8</v>
      </c>
      <c r="G5">
        <v>11</v>
      </c>
      <c r="H5" t="s">
        <v>12</v>
      </c>
      <c r="I5">
        <v>16.317699999999999</v>
      </c>
      <c r="J5">
        <v>2140</v>
      </c>
    </row>
    <row r="6" spans="1:10" x14ac:dyDescent="0.2">
      <c r="A6">
        <v>7620014</v>
      </c>
      <c r="B6" t="s">
        <v>9</v>
      </c>
      <c r="C6">
        <v>45000</v>
      </c>
      <c r="D6" s="1" t="d">
        <v>2015-11-17</v>
      </c>
      <c r="E6">
        <v>2015</v>
      </c>
      <c r="F6">
        <v>11</v>
      </c>
      <c r="G6">
        <v>17</v>
      </c>
      <c r="H6" t="s">
        <v>14</v>
      </c>
      <c r="I6">
        <v>16.317699999999999</v>
      </c>
      <c r="J6">
        <v>2140</v>
      </c>
    </row>
    <row r="7" spans="1:10" x14ac:dyDescent="0.2">
      <c r="A7">
        <v>7620001</v>
      </c>
      <c r="B7" t="s">
        <v>9</v>
      </c>
      <c r="C7">
        <v>62500</v>
      </c>
      <c r="D7" s="1" t="d">
        <v>2014-09-30</v>
      </c>
      <c r="E7">
        <v>2014</v>
      </c>
      <c r="F7">
        <v>9</v>
      </c>
      <c r="G7">
        <v>30</v>
      </c>
      <c r="H7" t="s">
        <v>13</v>
      </c>
      <c r="I7">
        <v>16.317699999999999</v>
      </c>
      <c r="J7">
        <v>2140</v>
      </c>
    </row>
    <row r="8" spans="1:10" x14ac:dyDescent="0.2">
      <c r="A8">
        <v>4766937</v>
      </c>
      <c r="B8" t="s">
        <v>9</v>
      </c>
      <c r="C8">
        <v>65000</v>
      </c>
      <c r="D8" s="1" t="d">
        <v>2003-02-03</v>
      </c>
      <c r="E8">
        <v>2003</v>
      </c>
      <c r="F8">
        <v>2</v>
      </c>
      <c r="G8">
        <v>3</v>
      </c>
      <c r="H8" t="s">
        <v>13</v>
      </c>
      <c r="I8">
        <v>16.317699999999999</v>
      </c>
      <c r="J8">
        <v>2140</v>
      </c>
    </row>
    <row r="9" spans="1:10" x14ac:dyDescent="0.2">
      <c r="A9">
        <v>4766901</v>
      </c>
      <c r="B9" t="s">
        <v>9</v>
      </c>
      <c r="C9">
        <v>80000</v>
      </c>
      <c r="D9" s="1" t="d">
        <v>2001-10-15</v>
      </c>
      <c r="E9">
        <v>2001</v>
      </c>
      <c r="F9">
        <v>10</v>
      </c>
      <c r="G9">
        <v>15</v>
      </c>
      <c r="H9" t="s">
        <v>10</v>
      </c>
      <c r="I9">
        <v>16.317699999999999</v>
      </c>
      <c r="J9">
        <v>2140</v>
      </c>
    </row>
    <row r="10" spans="1:10" x14ac:dyDescent="0.2">
      <c r="A10">
        <v>4766926</v>
      </c>
      <c r="B10" t="s">
        <v>9</v>
      </c>
      <c r="C10">
        <v>80000</v>
      </c>
      <c r="D10" s="1" t="d">
        <v>2002-03-08</v>
      </c>
      <c r="E10">
        <v>2002</v>
      </c>
      <c r="F10">
        <v>3</v>
      </c>
      <c r="G10">
        <v>8</v>
      </c>
      <c r="H10" t="s">
        <v>13</v>
      </c>
      <c r="I10">
        <v>16.317699999999999</v>
      </c>
      <c r="J10">
        <v>2140</v>
      </c>
    </row>
    <row r="11" spans="1:10" x14ac:dyDescent="0.2">
      <c r="A11">
        <v>4766958</v>
      </c>
      <c r="B11" t="s">
        <v>9</v>
      </c>
      <c r="C11">
        <v>80000</v>
      </c>
      <c r="D11" s="1" t="d">
        <v>2003-12-22</v>
      </c>
      <c r="E11">
        <v>2003</v>
      </c>
      <c r="F11">
        <v>12</v>
      </c>
      <c r="G11">
        <v>22</v>
      </c>
      <c r="H11" t="s">
        <v>11</v>
      </c>
      <c r="I11">
        <v>16.317699999999999</v>
      </c>
      <c r="J11">
        <v>2140</v>
      </c>
    </row>
    <row r="12" spans="1:10" x14ac:dyDescent="0.2">
      <c r="A12">
        <v>4766973</v>
      </c>
      <c r="B12" t="s">
        <v>9</v>
      </c>
      <c r="C12">
        <v>80000</v>
      </c>
      <c r="D12" s="1" t="d">
        <v>2004-07-02</v>
      </c>
      <c r="E12">
        <v>2004</v>
      </c>
      <c r="F12">
        <v>7</v>
      </c>
      <c r="G12">
        <v>2</v>
      </c>
      <c r="H12" t="s">
        <v>13</v>
      </c>
      <c r="I12">
        <v>16.317699999999999</v>
      </c>
      <c r="J12">
        <v>2140</v>
      </c>
    </row>
    <row r="13" spans="1:10" x14ac:dyDescent="0.2">
      <c r="A13">
        <v>4766934</v>
      </c>
      <c r="B13" t="s">
        <v>9</v>
      </c>
      <c r="C13">
        <v>90000</v>
      </c>
      <c r="D13" s="1" t="d">
        <v>2002-10-31</v>
      </c>
      <c r="E13">
        <v>2002</v>
      </c>
      <c r="F13">
        <v>10</v>
      </c>
      <c r="G13">
        <v>31</v>
      </c>
      <c r="H13" t="s">
        <v>13</v>
      </c>
      <c r="I13">
        <v>16.317699999999999</v>
      </c>
      <c r="J13">
        <v>2140</v>
      </c>
    </row>
    <row r="14" spans="1:10" x14ac:dyDescent="0.2">
      <c r="A14">
        <v>4766911</v>
      </c>
      <c r="B14" t="s">
        <v>9</v>
      </c>
      <c r="C14">
        <v>95000</v>
      </c>
      <c r="D14" s="1" t="d">
        <v>2001-03-01</v>
      </c>
      <c r="E14">
        <v>2001</v>
      </c>
      <c r="F14">
        <v>3</v>
      </c>
      <c r="G14">
        <v>1</v>
      </c>
      <c r="H14" t="s">
        <v>13</v>
      </c>
      <c r="I14">
        <v>16.317699999999999</v>
      </c>
      <c r="J14">
        <v>2140</v>
      </c>
    </row>
    <row r="15" spans="1:10" x14ac:dyDescent="0.2">
      <c r="A15">
        <v>7620061</v>
      </c>
      <c r="B15" t="s">
        <v>9</v>
      </c>
      <c r="C15">
        <v>95000</v>
      </c>
      <c r="D15" s="1" t="d">
        <v>2017-05-15</v>
      </c>
      <c r="E15">
        <v>2017</v>
      </c>
      <c r="F15">
        <v>5</v>
      </c>
      <c r="G15">
        <v>15</v>
      </c>
      <c r="H15" t="s">
        <v>14</v>
      </c>
      <c r="I15">
        <v>16.317699999999999</v>
      </c>
      <c r="J15">
        <v>2140</v>
      </c>
    </row>
    <row r="16" spans="1:10" x14ac:dyDescent="0.2">
      <c r="A16">
        <v>4766978</v>
      </c>
      <c r="B16" t="s">
        <v>9</v>
      </c>
      <c r="C16">
        <v>96500</v>
      </c>
      <c r="D16" s="1" t="d">
        <v>2004-01-30</v>
      </c>
      <c r="E16">
        <v>2004</v>
      </c>
      <c r="F16">
        <v>1</v>
      </c>
      <c r="G16">
        <v>30</v>
      </c>
      <c r="H16" t="s">
        <v>11</v>
      </c>
      <c r="I16">
        <v>16.317699999999999</v>
      </c>
      <c r="J16">
        <v>2140</v>
      </c>
    </row>
    <row r="17" spans="1:10" x14ac:dyDescent="0.2">
      <c r="A17">
        <v>7620051</v>
      </c>
      <c r="B17" t="s">
        <v>9</v>
      </c>
      <c r="C17">
        <v>100000</v>
      </c>
      <c r="D17" s="1" t="d">
        <v>2016-05-24</v>
      </c>
      <c r="E17">
        <v>2016</v>
      </c>
      <c r="F17">
        <v>5</v>
      </c>
      <c r="G17">
        <v>24</v>
      </c>
      <c r="H17" t="s">
        <v>10</v>
      </c>
      <c r="I17">
        <v>16.317699999999999</v>
      </c>
    </row>
    <row r="18" spans="1:10" x14ac:dyDescent="0.2">
      <c r="A18">
        <v>4766917</v>
      </c>
      <c r="B18" t="s">
        <v>9</v>
      </c>
      <c r="C18">
        <v>107500</v>
      </c>
      <c r="D18" s="1" t="d">
        <v>2001-05-18</v>
      </c>
      <c r="E18">
        <v>2001</v>
      </c>
      <c r="F18">
        <v>5</v>
      </c>
      <c r="G18">
        <v>18</v>
      </c>
      <c r="H18" t="s">
        <v>13</v>
      </c>
      <c r="I18">
        <v>16.317699999999999</v>
      </c>
      <c r="J18">
        <v>2140</v>
      </c>
    </row>
    <row r="19" spans="1:10" x14ac:dyDescent="0.2">
      <c r="A19">
        <v>4766921</v>
      </c>
      <c r="B19" t="s">
        <v>9</v>
      </c>
      <c r="C19">
        <v>110500</v>
      </c>
      <c r="D19" s="1" t="d">
        <v>2002-09-23</v>
      </c>
      <c r="E19">
        <v>2002</v>
      </c>
      <c r="F19">
        <v>9</v>
      </c>
      <c r="G19">
        <v>23</v>
      </c>
      <c r="H19" t="s">
        <v>13</v>
      </c>
      <c r="I19">
        <v>16.317699999999999</v>
      </c>
      <c r="J19">
        <v>2140</v>
      </c>
    </row>
    <row r="20" spans="1:10" x14ac:dyDescent="0.2">
      <c r="A20">
        <v>4766918</v>
      </c>
      <c r="B20" t="s">
        <v>9</v>
      </c>
      <c r="C20">
        <v>115000</v>
      </c>
      <c r="D20" s="1" t="d">
        <v>2001-07-24</v>
      </c>
      <c r="E20">
        <v>2001</v>
      </c>
      <c r="F20">
        <v>7</v>
      </c>
      <c r="G20">
        <v>24</v>
      </c>
      <c r="H20" t="s">
        <v>13</v>
      </c>
      <c r="I20">
        <v>16.317699999999999</v>
      </c>
      <c r="J20">
        <v>2140</v>
      </c>
    </row>
    <row r="21" spans="1:10" x14ac:dyDescent="0.2">
      <c r="A21">
        <v>4766909</v>
      </c>
      <c r="B21" t="s">
        <v>9</v>
      </c>
      <c r="C21">
        <v>118000</v>
      </c>
      <c r="D21" s="1" t="d">
        <v>2001-08-31</v>
      </c>
      <c r="E21">
        <v>2001</v>
      </c>
      <c r="F21">
        <v>8</v>
      </c>
      <c r="G21">
        <v>31</v>
      </c>
      <c r="H21" t="s">
        <v>12</v>
      </c>
      <c r="I21">
        <v>16.317699999999999</v>
      </c>
      <c r="J21">
        <v>2140</v>
      </c>
    </row>
    <row r="22" spans="1:10" x14ac:dyDescent="0.2">
      <c r="A22">
        <v>4766982</v>
      </c>
      <c r="B22" t="s">
        <v>9</v>
      </c>
      <c r="C22">
        <v>125000</v>
      </c>
      <c r="D22" s="1" t="d">
        <v>2004-08-02</v>
      </c>
      <c r="E22">
        <v>2004</v>
      </c>
      <c r="F22">
        <v>8</v>
      </c>
      <c r="G22">
        <v>2</v>
      </c>
      <c r="H22" t="s">
        <v>10</v>
      </c>
      <c r="I22">
        <v>16.317699999999999</v>
      </c>
      <c r="J22">
        <v>2140</v>
      </c>
    </row>
    <row r="23" spans="1:10" x14ac:dyDescent="0.2">
      <c r="A23">
        <v>7619970</v>
      </c>
      <c r="B23" t="s">
        <v>9</v>
      </c>
      <c r="C23">
        <v>125000</v>
      </c>
      <c r="D23" s="1" t="d">
        <v>2013-11-29</v>
      </c>
      <c r="E23">
        <v>2013</v>
      </c>
      <c r="F23">
        <v>11</v>
      </c>
      <c r="G23">
        <v>29</v>
      </c>
      <c r="H23" t="s">
        <v>13</v>
      </c>
      <c r="I23">
        <v>16.317699999999999</v>
      </c>
    </row>
    <row r="24" spans="1:10" x14ac:dyDescent="0.2">
      <c r="A24">
        <v>7620039</v>
      </c>
      <c r="B24" t="s">
        <v>9</v>
      </c>
      <c r="C24">
        <v>125000</v>
      </c>
      <c r="D24" s="1" t="d">
        <v>2016-12-19</v>
      </c>
      <c r="E24">
        <v>2016</v>
      </c>
      <c r="F24">
        <v>12</v>
      </c>
      <c r="G24">
        <v>19</v>
      </c>
      <c r="H24" t="s">
        <v>13</v>
      </c>
      <c r="I24">
        <v>16.317699999999999</v>
      </c>
    </row>
    <row r="25" spans="1:10" x14ac:dyDescent="0.2">
      <c r="A25">
        <v>7620049</v>
      </c>
      <c r="B25" t="s">
        <v>9</v>
      </c>
      <c r="C25">
        <v>125000</v>
      </c>
      <c r="D25" s="1" t="d">
        <v>2016-03-01</v>
      </c>
      <c r="E25">
        <v>2016</v>
      </c>
      <c r="F25">
        <v>3</v>
      </c>
      <c r="G25">
        <v>1</v>
      </c>
      <c r="H25" t="s">
        <v>13</v>
      </c>
      <c r="I25">
        <v>16.317699999999999</v>
      </c>
    </row>
    <row r="26" spans="1:10" x14ac:dyDescent="0.2">
      <c r="A26">
        <v>4766961</v>
      </c>
      <c r="B26" t="s">
        <v>9</v>
      </c>
      <c r="C26">
        <v>127500</v>
      </c>
      <c r="D26" s="1" t="d">
        <v>2003-11-07</v>
      </c>
      <c r="E26">
        <v>2003</v>
      </c>
      <c r="F26">
        <v>11</v>
      </c>
      <c r="G26">
        <v>7</v>
      </c>
      <c r="H26" t="s">
        <v>13</v>
      </c>
      <c r="I26">
        <v>16.317699999999999</v>
      </c>
      <c r="J26">
        <v>2140</v>
      </c>
    </row>
    <row r="27" spans="1:10" x14ac:dyDescent="0.2">
      <c r="A27">
        <v>4767005</v>
      </c>
      <c r="B27" t="s">
        <v>9</v>
      </c>
      <c r="C27">
        <v>148000</v>
      </c>
      <c r="D27" s="1" t="d">
        <v>2006-03-17</v>
      </c>
      <c r="E27">
        <v>2006</v>
      </c>
      <c r="F27">
        <v>3</v>
      </c>
      <c r="G27">
        <v>17</v>
      </c>
      <c r="H27" t="s">
        <v>13</v>
      </c>
      <c r="I27">
        <v>16.317699999999999</v>
      </c>
      <c r="J27">
        <v>2140</v>
      </c>
    </row>
    <row r="28" spans="1:10" x14ac:dyDescent="0.2">
      <c r="A28">
        <v>7620048</v>
      </c>
      <c r="B28" t="s">
        <v>9</v>
      </c>
      <c r="C28">
        <v>148500</v>
      </c>
      <c r="D28" s="1" t="d">
        <v>2016-01-22</v>
      </c>
      <c r="E28">
        <v>2016</v>
      </c>
      <c r="F28">
        <v>1</v>
      </c>
      <c r="G28">
        <v>22</v>
      </c>
      <c r="H28" t="s">
        <v>13</v>
      </c>
      <c r="I28">
        <v>16.317699999999999</v>
      </c>
    </row>
    <row r="29" spans="1:10" x14ac:dyDescent="0.2">
      <c r="A29">
        <v>4766929</v>
      </c>
      <c r="B29" t="s">
        <v>9</v>
      </c>
      <c r="C29">
        <v>150000</v>
      </c>
      <c r="D29" s="1" t="d">
        <v>2002-05-24</v>
      </c>
      <c r="E29">
        <v>2002</v>
      </c>
      <c r="F29">
        <v>5</v>
      </c>
      <c r="G29">
        <v>24</v>
      </c>
      <c r="H29" t="s">
        <v>10</v>
      </c>
      <c r="I29">
        <v>16.317699999999999</v>
      </c>
      <c r="J29">
        <v>2140</v>
      </c>
    </row>
    <row r="30" spans="1:10" x14ac:dyDescent="0.2">
      <c r="A30">
        <v>4766943</v>
      </c>
      <c r="B30" t="s">
        <v>9</v>
      </c>
      <c r="C30">
        <v>150000</v>
      </c>
      <c r="D30" s="1" t="d">
        <v>2003-02-28</v>
      </c>
      <c r="E30">
        <v>2003</v>
      </c>
      <c r="F30">
        <v>2</v>
      </c>
      <c r="G30">
        <v>28</v>
      </c>
      <c r="H30" t="s">
        <v>13</v>
      </c>
      <c r="I30">
        <v>16.317699999999999</v>
      </c>
      <c r="J30">
        <v>2140</v>
      </c>
    </row>
    <row r="31" spans="1:10" x14ac:dyDescent="0.2">
      <c r="A31">
        <v>4766996</v>
      </c>
      <c r="B31" t="s">
        <v>9</v>
      </c>
      <c r="C31">
        <v>158000</v>
      </c>
      <c r="D31" s="1" t="d">
        <v>2005-11-23</v>
      </c>
      <c r="E31">
        <v>2005</v>
      </c>
      <c r="F31">
        <v>11</v>
      </c>
      <c r="G31">
        <v>23</v>
      </c>
      <c r="H31" t="s">
        <v>13</v>
      </c>
      <c r="I31">
        <v>16.317699999999999</v>
      </c>
      <c r="J31">
        <v>2140</v>
      </c>
    </row>
    <row r="32" spans="1:10" x14ac:dyDescent="0.2">
      <c r="A32">
        <v>4766913</v>
      </c>
      <c r="B32" t="s">
        <v>9</v>
      </c>
      <c r="C32">
        <v>160000</v>
      </c>
      <c r="D32" s="1" t="d">
        <v>2001-11-30</v>
      </c>
      <c r="E32">
        <v>2001</v>
      </c>
      <c r="F32">
        <v>11</v>
      </c>
      <c r="G32">
        <v>30</v>
      </c>
      <c r="H32" t="s">
        <v>13</v>
      </c>
      <c r="I32">
        <v>16.317699999999999</v>
      </c>
      <c r="J32">
        <v>2140</v>
      </c>
    </row>
    <row r="33" spans="1:10" x14ac:dyDescent="0.2">
      <c r="A33">
        <v>4766977</v>
      </c>
      <c r="B33" t="s">
        <v>9</v>
      </c>
      <c r="C33">
        <v>160000</v>
      </c>
      <c r="D33" s="1" t="d">
        <v>2004-06-28</v>
      </c>
      <c r="E33">
        <v>2004</v>
      </c>
      <c r="F33">
        <v>6</v>
      </c>
      <c r="G33">
        <v>28</v>
      </c>
      <c r="H33" t="s">
        <v>13</v>
      </c>
      <c r="I33">
        <v>16.317699999999999</v>
      </c>
      <c r="J33">
        <v>2140</v>
      </c>
    </row>
    <row r="34" spans="1:10" x14ac:dyDescent="0.2">
      <c r="A34">
        <v>4766906</v>
      </c>
      <c r="B34" t="s">
        <v>9</v>
      </c>
      <c r="C34">
        <v>165000</v>
      </c>
      <c r="D34" s="1" t="d">
        <v>2001-12-07</v>
      </c>
      <c r="E34">
        <v>2001</v>
      </c>
      <c r="F34">
        <v>12</v>
      </c>
      <c r="G34">
        <v>7</v>
      </c>
      <c r="H34" t="s">
        <v>13</v>
      </c>
      <c r="I34">
        <v>16.317699999999999</v>
      </c>
      <c r="J34">
        <v>2140</v>
      </c>
    </row>
    <row r="35" spans="1:10" x14ac:dyDescent="0.2">
      <c r="A35">
        <v>4766928</v>
      </c>
      <c r="B35" t="s">
        <v>9</v>
      </c>
      <c r="C35">
        <v>165000</v>
      </c>
      <c r="D35" s="1" t="d">
        <v>2002-11-29</v>
      </c>
      <c r="E35">
        <v>2002</v>
      </c>
      <c r="F35">
        <v>11</v>
      </c>
      <c r="G35">
        <v>29</v>
      </c>
      <c r="H35" t="s">
        <v>13</v>
      </c>
      <c r="I35">
        <v>16.317699999999999</v>
      </c>
      <c r="J35">
        <v>2140</v>
      </c>
    </row>
    <row r="36" spans="1:10" x14ac:dyDescent="0.2">
      <c r="A36">
        <v>7619995</v>
      </c>
      <c r="B36" t="s">
        <v>9</v>
      </c>
      <c r="C36">
        <v>165000</v>
      </c>
      <c r="D36" s="1" t="d">
        <v>2014-03-17</v>
      </c>
      <c r="E36">
        <v>2014</v>
      </c>
      <c r="F36">
        <v>3</v>
      </c>
      <c r="G36">
        <v>17</v>
      </c>
      <c r="H36" t="s">
        <v>13</v>
      </c>
      <c r="I36">
        <v>16.317699999999999</v>
      </c>
    </row>
    <row r="37" spans="1:10" x14ac:dyDescent="0.2">
      <c r="A37">
        <v>7620056</v>
      </c>
      <c r="B37" t="s">
        <v>9</v>
      </c>
      <c r="C37">
        <v>165000</v>
      </c>
      <c r="D37" s="1" t="d">
        <v>2017-04-26</v>
      </c>
      <c r="E37">
        <v>2017</v>
      </c>
      <c r="F37">
        <v>4</v>
      </c>
      <c r="G37">
        <v>26</v>
      </c>
      <c r="H37" t="s">
        <v>13</v>
      </c>
      <c r="I37">
        <v>16.317699999999999</v>
      </c>
    </row>
    <row r="38" spans="1:10" x14ac:dyDescent="0.2">
      <c r="A38">
        <v>7619991</v>
      </c>
      <c r="B38" t="s">
        <v>9</v>
      </c>
      <c r="C38">
        <v>170000</v>
      </c>
      <c r="D38" s="1" t="d">
        <v>2014-10-23</v>
      </c>
      <c r="E38">
        <v>2014</v>
      </c>
      <c r="F38">
        <v>10</v>
      </c>
      <c r="G38">
        <v>23</v>
      </c>
      <c r="H38" t="s">
        <v>13</v>
      </c>
      <c r="I38">
        <v>16.317699999999999</v>
      </c>
    </row>
    <row r="39" spans="1:10" x14ac:dyDescent="0.2">
      <c r="A39">
        <v>7619996</v>
      </c>
      <c r="B39" t="s">
        <v>9</v>
      </c>
      <c r="C39">
        <v>173500</v>
      </c>
      <c r="D39" s="1" t="d">
        <v>2014-12-15</v>
      </c>
      <c r="E39">
        <v>2014</v>
      </c>
      <c r="F39">
        <v>12</v>
      </c>
      <c r="G39">
        <v>15</v>
      </c>
      <c r="H39" t="s">
        <v>12</v>
      </c>
      <c r="I39">
        <v>16.317699999999999</v>
      </c>
    </row>
    <row r="40" spans="1:10" x14ac:dyDescent="0.2">
      <c r="A40">
        <v>4766919</v>
      </c>
      <c r="B40" t="s">
        <v>9</v>
      </c>
      <c r="C40">
        <v>175000</v>
      </c>
      <c r="D40" s="1" t="d">
        <v>2002-08-29</v>
      </c>
      <c r="E40">
        <v>2002</v>
      </c>
      <c r="F40">
        <v>8</v>
      </c>
      <c r="G40">
        <v>29</v>
      </c>
      <c r="H40" t="s">
        <v>13</v>
      </c>
      <c r="I40">
        <v>16.317699999999999</v>
      </c>
      <c r="J40">
        <v>2140</v>
      </c>
    </row>
    <row r="41" spans="1:10" x14ac:dyDescent="0.2">
      <c r="A41">
        <v>7619949</v>
      </c>
      <c r="B41" t="s">
        <v>9</v>
      </c>
      <c r="C41">
        <v>175000</v>
      </c>
      <c r="D41" s="1" t="d">
        <v>2011-05-27</v>
      </c>
      <c r="E41">
        <v>2011</v>
      </c>
      <c r="F41">
        <v>5</v>
      </c>
      <c r="G41">
        <v>27</v>
      </c>
      <c r="H41" t="s">
        <v>11</v>
      </c>
      <c r="I41">
        <v>16.317699999999999</v>
      </c>
    </row>
    <row r="42" spans="1:10" x14ac:dyDescent="0.2">
      <c r="A42">
        <v>7620047</v>
      </c>
      <c r="B42" t="s">
        <v>9</v>
      </c>
      <c r="C42">
        <v>175000</v>
      </c>
      <c r="D42" s="1" t="d">
        <v>2016-01-28</v>
      </c>
      <c r="E42">
        <v>2016</v>
      </c>
      <c r="F42">
        <v>1</v>
      </c>
      <c r="G42">
        <v>28</v>
      </c>
      <c r="H42" t="s">
        <v>13</v>
      </c>
      <c r="I42">
        <v>16.317699999999999</v>
      </c>
    </row>
    <row r="43" spans="1:10" x14ac:dyDescent="0.2">
      <c r="A43">
        <v>7620024</v>
      </c>
      <c r="B43" t="s">
        <v>9</v>
      </c>
      <c r="C43">
        <v>178000</v>
      </c>
      <c r="D43" s="1" t="d">
        <v>2016-03-07</v>
      </c>
      <c r="E43">
        <v>2016</v>
      </c>
      <c r="F43">
        <v>3</v>
      </c>
      <c r="G43">
        <v>7</v>
      </c>
      <c r="H43" t="s">
        <v>13</v>
      </c>
      <c r="I43">
        <v>16.317699999999999</v>
      </c>
    </row>
    <row r="44" spans="1:10" x14ac:dyDescent="0.2">
      <c r="A44">
        <v>4766907</v>
      </c>
      <c r="B44" t="s">
        <v>9</v>
      </c>
      <c r="C44">
        <v>180000</v>
      </c>
      <c r="D44" s="1" t="d">
        <v>2001-12-17</v>
      </c>
      <c r="E44">
        <v>2001</v>
      </c>
      <c r="F44">
        <v>12</v>
      </c>
      <c r="G44">
        <v>17</v>
      </c>
      <c r="H44" t="s">
        <v>13</v>
      </c>
      <c r="I44">
        <v>16.317699999999999</v>
      </c>
      <c r="J44">
        <v>2140</v>
      </c>
    </row>
    <row r="45" spans="1:10" x14ac:dyDescent="0.2">
      <c r="A45">
        <v>4766910</v>
      </c>
      <c r="B45" t="s">
        <v>9</v>
      </c>
      <c r="C45">
        <v>180000</v>
      </c>
      <c r="D45" s="1" t="d">
        <v>2001-10-22</v>
      </c>
      <c r="E45">
        <v>2001</v>
      </c>
      <c r="F45">
        <v>10</v>
      </c>
      <c r="G45">
        <v>22</v>
      </c>
      <c r="H45" t="s">
        <v>13</v>
      </c>
      <c r="I45">
        <v>16.317699999999999</v>
      </c>
      <c r="J45">
        <v>2140</v>
      </c>
    </row>
    <row r="46" spans="1:10" x14ac:dyDescent="0.2">
      <c r="A46">
        <v>4767067</v>
      </c>
      <c r="B46" t="s">
        <v>9</v>
      </c>
      <c r="C46">
        <v>180000</v>
      </c>
      <c r="D46" s="1" t="d">
        <v>2009-10-16</v>
      </c>
      <c r="E46">
        <v>2009</v>
      </c>
      <c r="F46">
        <v>10</v>
      </c>
      <c r="G46">
        <v>16</v>
      </c>
      <c r="H46" t="s">
        <v>12</v>
      </c>
      <c r="I46">
        <v>16.317699999999999</v>
      </c>
      <c r="J46">
        <v>2140</v>
      </c>
    </row>
    <row r="47" spans="1:10" x14ac:dyDescent="0.2">
      <c r="A47">
        <v>4767079</v>
      </c>
      <c r="B47" t="s">
        <v>9</v>
      </c>
      <c r="C47">
        <v>183000</v>
      </c>
      <c r="D47" s="1" t="d">
        <v>2010-06-30</v>
      </c>
      <c r="E47">
        <v>2010</v>
      </c>
      <c r="F47">
        <v>6</v>
      </c>
      <c r="G47">
        <v>30</v>
      </c>
      <c r="H47" t="s">
        <v>13</v>
      </c>
      <c r="I47">
        <v>16.317699999999999</v>
      </c>
      <c r="J47">
        <v>2140</v>
      </c>
    </row>
    <row r="48" spans="1:10" x14ac:dyDescent="0.2">
      <c r="A48">
        <v>4766952</v>
      </c>
      <c r="B48" t="s">
        <v>9</v>
      </c>
      <c r="C48">
        <v>185000</v>
      </c>
      <c r="D48" s="1" t="d">
        <v>2003-11-12</v>
      </c>
      <c r="E48">
        <v>2003</v>
      </c>
      <c r="F48">
        <v>11</v>
      </c>
      <c r="G48">
        <v>12</v>
      </c>
      <c r="H48" t="s">
        <v>13</v>
      </c>
      <c r="I48">
        <v>16.317699999999999</v>
      </c>
      <c r="J48">
        <v>2140</v>
      </c>
    </row>
    <row r="49" spans="1:10" x14ac:dyDescent="0.2">
      <c r="A49">
        <v>4767031</v>
      </c>
      <c r="B49" t="s">
        <v>9</v>
      </c>
      <c r="C49">
        <v>185000</v>
      </c>
      <c r="D49" s="1" t="d">
        <v>2007-10-19</v>
      </c>
      <c r="E49">
        <v>2007</v>
      </c>
      <c r="F49">
        <v>10</v>
      </c>
      <c r="G49">
        <v>19</v>
      </c>
      <c r="H49" t="s">
        <v>13</v>
      </c>
      <c r="I49">
        <v>16.317699999999999</v>
      </c>
      <c r="J49">
        <v>2140</v>
      </c>
    </row>
    <row r="50" spans="1:10" x14ac:dyDescent="0.2">
      <c r="A50">
        <v>4767051</v>
      </c>
      <c r="B50" t="s">
        <v>9</v>
      </c>
      <c r="C50">
        <v>185000</v>
      </c>
      <c r="D50" s="1" t="d">
        <v>2008-02-22</v>
      </c>
      <c r="E50">
        <v>2008</v>
      </c>
      <c r="F50">
        <v>2</v>
      </c>
      <c r="G50">
        <v>22</v>
      </c>
      <c r="H50" t="s">
        <v>13</v>
      </c>
      <c r="I50">
        <v>16.317699999999999</v>
      </c>
      <c r="J50">
        <v>2140</v>
      </c>
    </row>
    <row r="51" spans="1:10" x14ac:dyDescent="0.2">
      <c r="A51">
        <v>7620052</v>
      </c>
      <c r="B51" t="s">
        <v>9</v>
      </c>
      <c r="C51">
        <v>185000</v>
      </c>
      <c r="D51" s="1" t="d">
        <v>2016-11-10</v>
      </c>
      <c r="E51">
        <v>2016</v>
      </c>
      <c r="F51">
        <v>11</v>
      </c>
      <c r="G51">
        <v>10</v>
      </c>
      <c r="H51" t="s">
        <v>13</v>
      </c>
      <c r="I51">
        <v>16.317699999999999</v>
      </c>
    </row>
    <row r="52" spans="1:10" x14ac:dyDescent="0.2">
      <c r="A52">
        <v>4767012</v>
      </c>
      <c r="B52" t="s">
        <v>9</v>
      </c>
      <c r="C52">
        <v>189950</v>
      </c>
      <c r="D52" s="1" t="d">
        <v>2006-06-26</v>
      </c>
      <c r="E52">
        <v>2006</v>
      </c>
      <c r="F52">
        <v>6</v>
      </c>
      <c r="G52">
        <v>26</v>
      </c>
      <c r="H52" t="s">
        <v>13</v>
      </c>
      <c r="I52">
        <v>16.317699999999999</v>
      </c>
      <c r="J52">
        <v>2140</v>
      </c>
    </row>
    <row r="53" spans="1:10" x14ac:dyDescent="0.2">
      <c r="A53">
        <v>4766903</v>
      </c>
      <c r="B53" t="s">
        <v>9</v>
      </c>
      <c r="C53">
        <v>190000</v>
      </c>
      <c r="D53" s="1" t="d">
        <v>2001-11-18</v>
      </c>
      <c r="E53">
        <v>2001</v>
      </c>
      <c r="F53">
        <v>11</v>
      </c>
      <c r="G53">
        <v>18</v>
      </c>
      <c r="H53" t="s">
        <v>12</v>
      </c>
      <c r="I53">
        <v>16.317699999999999</v>
      </c>
      <c r="J53">
        <v>2140</v>
      </c>
    </row>
    <row r="54" spans="1:10" x14ac:dyDescent="0.2">
      <c r="A54">
        <v>4767078</v>
      </c>
      <c r="B54" t="s">
        <v>9</v>
      </c>
      <c r="C54">
        <v>190000</v>
      </c>
      <c r="D54" s="1" t="d">
        <v>2010-11-30</v>
      </c>
      <c r="E54">
        <v>2010</v>
      </c>
      <c r="F54">
        <v>11</v>
      </c>
      <c r="G54">
        <v>30</v>
      </c>
      <c r="H54" t="s">
        <v>11</v>
      </c>
      <c r="I54">
        <v>16.317699999999999</v>
      </c>
      <c r="J54">
        <v>2140</v>
      </c>
    </row>
    <row r="55" spans="1:10" x14ac:dyDescent="0.2">
      <c r="A55">
        <v>7620060</v>
      </c>
      <c r="B55" t="s">
        <v>9</v>
      </c>
      <c r="C55">
        <v>190000</v>
      </c>
      <c r="D55" s="1" t="d">
        <v>2017-01-06</v>
      </c>
      <c r="E55">
        <v>2017</v>
      </c>
      <c r="F55">
        <v>1</v>
      </c>
      <c r="G55">
        <v>6</v>
      </c>
      <c r="H55" t="s">
        <v>13</v>
      </c>
      <c r="I55">
        <v>16.317699999999999</v>
      </c>
    </row>
    <row r="56" spans="1:10" x14ac:dyDescent="0.2">
      <c r="A56">
        <v>4767081</v>
      </c>
      <c r="B56" t="s">
        <v>9</v>
      </c>
      <c r="C56">
        <v>191000</v>
      </c>
      <c r="D56" s="1" t="d">
        <v>2010-01-20</v>
      </c>
      <c r="E56">
        <v>2010</v>
      </c>
      <c r="F56">
        <v>1</v>
      </c>
      <c r="G56">
        <v>20</v>
      </c>
      <c r="H56" t="s">
        <v>13</v>
      </c>
      <c r="I56">
        <v>16.317699999999999</v>
      </c>
      <c r="J56">
        <v>2140</v>
      </c>
    </row>
    <row r="57" spans="1:10" x14ac:dyDescent="0.2">
      <c r="A57">
        <v>7619948</v>
      </c>
      <c r="B57" t="s">
        <v>9</v>
      </c>
      <c r="C57">
        <v>194500</v>
      </c>
      <c r="D57" s="1" t="d">
        <v>2011-02-18</v>
      </c>
      <c r="E57">
        <v>2011</v>
      </c>
      <c r="F57">
        <v>2</v>
      </c>
      <c r="G57">
        <v>18</v>
      </c>
      <c r="H57" t="s">
        <v>13</v>
      </c>
      <c r="I57">
        <v>16.317699999999999</v>
      </c>
    </row>
    <row r="58" spans="1:10" x14ac:dyDescent="0.2">
      <c r="A58">
        <v>4766968</v>
      </c>
      <c r="B58" t="s">
        <v>9</v>
      </c>
      <c r="C58">
        <v>195000</v>
      </c>
      <c r="D58" s="1" t="d">
        <v>2004-12-16</v>
      </c>
      <c r="E58">
        <v>2004</v>
      </c>
      <c r="F58">
        <v>12</v>
      </c>
      <c r="G58">
        <v>16</v>
      </c>
      <c r="H58" t="s">
        <v>13</v>
      </c>
      <c r="I58">
        <v>16.317699999999999</v>
      </c>
      <c r="J58">
        <v>2140</v>
      </c>
    </row>
    <row r="59" spans="1:10" x14ac:dyDescent="0.2">
      <c r="A59">
        <v>4767043</v>
      </c>
      <c r="B59" t="s">
        <v>9</v>
      </c>
      <c r="C59">
        <v>195000</v>
      </c>
      <c r="D59" s="1" t="d">
        <v>2007-07-31</v>
      </c>
      <c r="E59">
        <v>2007</v>
      </c>
      <c r="F59">
        <v>7</v>
      </c>
      <c r="G59">
        <v>31</v>
      </c>
      <c r="H59" t="s">
        <v>13</v>
      </c>
      <c r="I59">
        <v>16.317699999999999</v>
      </c>
      <c r="J59">
        <v>2140</v>
      </c>
    </row>
    <row r="60" spans="1:10" x14ac:dyDescent="0.2">
      <c r="A60">
        <v>7619986</v>
      </c>
      <c r="B60" t="s">
        <v>9</v>
      </c>
      <c r="C60">
        <v>195000</v>
      </c>
      <c r="D60" s="1" t="d">
        <v>2014-12-08</v>
      </c>
      <c r="E60">
        <v>2014</v>
      </c>
      <c r="F60">
        <v>12</v>
      </c>
      <c r="G60">
        <v>8</v>
      </c>
      <c r="H60" t="s">
        <v>13</v>
      </c>
      <c r="I60">
        <v>16.317699999999999</v>
      </c>
    </row>
    <row r="61" spans="1:10" x14ac:dyDescent="0.2">
      <c r="A61">
        <v>4766905</v>
      </c>
      <c r="B61" t="s">
        <v>9</v>
      </c>
      <c r="C61">
        <v>200000</v>
      </c>
      <c r="D61" s="1" t="d">
        <v>2001-03-15</v>
      </c>
      <c r="E61">
        <v>2001</v>
      </c>
      <c r="F61">
        <v>3</v>
      </c>
      <c r="G61">
        <v>15</v>
      </c>
      <c r="H61" t="s">
        <v>12</v>
      </c>
      <c r="I61">
        <v>16.317699999999999</v>
      </c>
      <c r="J61">
        <v>2140</v>
      </c>
    </row>
    <row r="62" spans="1:10" x14ac:dyDescent="0.2">
      <c r="A62">
        <v>4766927</v>
      </c>
      <c r="B62" t="s">
        <v>9</v>
      </c>
      <c r="C62">
        <v>200000</v>
      </c>
      <c r="D62" s="1" t="d">
        <v>2002-07-31</v>
      </c>
      <c r="E62">
        <v>2002</v>
      </c>
      <c r="F62">
        <v>7</v>
      </c>
      <c r="G62">
        <v>31</v>
      </c>
      <c r="H62" t="s">
        <v>13</v>
      </c>
      <c r="I62">
        <v>16.317699999999999</v>
      </c>
      <c r="J62">
        <v>2140</v>
      </c>
    </row>
    <row r="63" spans="1:10" x14ac:dyDescent="0.2">
      <c r="A63">
        <v>4766935</v>
      </c>
      <c r="B63" t="s">
        <v>9</v>
      </c>
      <c r="C63">
        <v>200000</v>
      </c>
      <c r="D63" s="1" t="d">
        <v>2003-09-02</v>
      </c>
      <c r="E63">
        <v>2003</v>
      </c>
      <c r="F63">
        <v>9</v>
      </c>
      <c r="G63">
        <v>2</v>
      </c>
      <c r="H63" t="s">
        <v>12</v>
      </c>
      <c r="I63">
        <v>16.317699999999999</v>
      </c>
      <c r="J63">
        <v>2140</v>
      </c>
    </row>
    <row r="64" spans="1:10" x14ac:dyDescent="0.2">
      <c r="A64">
        <v>4766944</v>
      </c>
      <c r="B64" t="s">
        <v>9</v>
      </c>
      <c r="C64">
        <v>200000</v>
      </c>
      <c r="D64" s="1" t="d">
        <v>2003-05-30</v>
      </c>
      <c r="E64">
        <v>2003</v>
      </c>
      <c r="F64">
        <v>5</v>
      </c>
      <c r="G64">
        <v>30</v>
      </c>
      <c r="H64" t="s">
        <v>13</v>
      </c>
      <c r="I64">
        <v>16.317699999999999</v>
      </c>
      <c r="J64">
        <v>2140</v>
      </c>
    </row>
    <row r="65" spans="1:10" x14ac:dyDescent="0.2">
      <c r="A65">
        <v>4766954</v>
      </c>
      <c r="B65" t="s">
        <v>9</v>
      </c>
      <c r="C65">
        <v>200000</v>
      </c>
      <c r="D65" s="1" t="d">
        <v>2003-05-30</v>
      </c>
      <c r="E65">
        <v>2003</v>
      </c>
      <c r="F65">
        <v>5</v>
      </c>
      <c r="G65">
        <v>30</v>
      </c>
      <c r="H65" t="s">
        <v>13</v>
      </c>
      <c r="I65">
        <v>16.317699999999999</v>
      </c>
      <c r="J65">
        <v>2140</v>
      </c>
    </row>
    <row r="66" spans="1:10" x14ac:dyDescent="0.2">
      <c r="A66">
        <v>4767024</v>
      </c>
      <c r="B66" t="s">
        <v>9</v>
      </c>
      <c r="C66">
        <v>200000</v>
      </c>
      <c r="D66" s="1" t="d">
        <v>2006-10-10</v>
      </c>
      <c r="E66">
        <v>2006</v>
      </c>
      <c r="F66">
        <v>10</v>
      </c>
      <c r="G66">
        <v>10</v>
      </c>
      <c r="H66" t="s">
        <v>12</v>
      </c>
      <c r="I66">
        <v>16.317699999999999</v>
      </c>
      <c r="J66">
        <v>2140</v>
      </c>
    </row>
    <row r="67" spans="1:10" x14ac:dyDescent="0.2">
      <c r="A67">
        <v>7619953</v>
      </c>
      <c r="B67" t="s">
        <v>9</v>
      </c>
      <c r="C67">
        <v>200000</v>
      </c>
      <c r="D67" s="1" t="d">
        <v>2011-06-24</v>
      </c>
      <c r="E67">
        <v>2011</v>
      </c>
      <c r="F67">
        <v>6</v>
      </c>
      <c r="G67">
        <v>24</v>
      </c>
      <c r="H67" t="s">
        <v>13</v>
      </c>
      <c r="I67">
        <v>16.317699999999999</v>
      </c>
    </row>
    <row r="68" spans="1:10" x14ac:dyDescent="0.2">
      <c r="A68">
        <v>7619990</v>
      </c>
      <c r="B68" t="s">
        <v>9</v>
      </c>
      <c r="C68">
        <v>200000</v>
      </c>
      <c r="D68" s="1" t="d">
        <v>2014-09-10</v>
      </c>
      <c r="E68">
        <v>2014</v>
      </c>
      <c r="F68">
        <v>9</v>
      </c>
      <c r="G68">
        <v>10</v>
      </c>
      <c r="H68" t="s">
        <v>11</v>
      </c>
      <c r="I68">
        <v>16.317699999999999</v>
      </c>
    </row>
    <row r="69" spans="1:10" x14ac:dyDescent="0.2">
      <c r="A69">
        <v>7620018</v>
      </c>
      <c r="B69" t="s">
        <v>9</v>
      </c>
      <c r="C69">
        <v>200000</v>
      </c>
      <c r="D69" s="1" t="d">
        <v>2015-10-07</v>
      </c>
      <c r="E69">
        <v>2015</v>
      </c>
      <c r="F69">
        <v>10</v>
      </c>
      <c r="G69">
        <v>7</v>
      </c>
      <c r="H69" t="s">
        <v>13</v>
      </c>
      <c r="I69">
        <v>16.317699999999999</v>
      </c>
    </row>
    <row r="70" spans="1:10" x14ac:dyDescent="0.2">
      <c r="A70">
        <v>4766964</v>
      </c>
      <c r="B70" t="s">
        <v>9</v>
      </c>
      <c r="C70">
        <v>202500</v>
      </c>
      <c r="D70" s="1" t="d">
        <v>2004-12-23</v>
      </c>
      <c r="E70">
        <v>2004</v>
      </c>
      <c r="F70">
        <v>12</v>
      </c>
      <c r="G70">
        <v>23</v>
      </c>
      <c r="H70" t="s">
        <v>13</v>
      </c>
      <c r="I70">
        <v>16.317699999999999</v>
      </c>
      <c r="J70">
        <v>2140</v>
      </c>
    </row>
    <row r="71" spans="1:10" x14ac:dyDescent="0.2">
      <c r="A71">
        <v>7619977</v>
      </c>
      <c r="B71" t="s">
        <v>9</v>
      </c>
      <c r="C71">
        <v>205000</v>
      </c>
      <c r="D71" s="1" t="d">
        <v>2013-10-02</v>
      </c>
      <c r="E71">
        <v>2013</v>
      </c>
      <c r="F71">
        <v>10</v>
      </c>
      <c r="G71">
        <v>2</v>
      </c>
      <c r="H71" t="s">
        <v>13</v>
      </c>
      <c r="I71">
        <v>16.317699999999999</v>
      </c>
    </row>
    <row r="72" spans="1:10" x14ac:dyDescent="0.2">
      <c r="A72">
        <v>7620026</v>
      </c>
      <c r="B72" t="s">
        <v>9</v>
      </c>
      <c r="C72">
        <v>207000</v>
      </c>
      <c r="D72" s="1" t="d">
        <v>2016-02-19</v>
      </c>
      <c r="E72">
        <v>2016</v>
      </c>
      <c r="F72">
        <v>2</v>
      </c>
      <c r="G72">
        <v>19</v>
      </c>
      <c r="H72" t="s">
        <v>13</v>
      </c>
      <c r="I72">
        <v>16.317699999999999</v>
      </c>
    </row>
    <row r="73" spans="1:10" x14ac:dyDescent="0.2">
      <c r="A73">
        <v>7619975</v>
      </c>
      <c r="B73" t="s">
        <v>9</v>
      </c>
      <c r="C73">
        <v>208000</v>
      </c>
      <c r="D73" s="1" t="d">
        <v>2013-05-09</v>
      </c>
      <c r="E73">
        <v>2013</v>
      </c>
      <c r="F73">
        <v>5</v>
      </c>
      <c r="G73">
        <v>9</v>
      </c>
      <c r="H73" t="s">
        <v>10</v>
      </c>
      <c r="I73">
        <v>16.317699999999999</v>
      </c>
    </row>
    <row r="74" spans="1:10" x14ac:dyDescent="0.2">
      <c r="A74">
        <v>7620037</v>
      </c>
      <c r="B74" t="s">
        <v>9</v>
      </c>
      <c r="C74">
        <v>209000</v>
      </c>
      <c r="D74" s="1" t="d">
        <v>2016-03-30</v>
      </c>
      <c r="E74">
        <v>2016</v>
      </c>
      <c r="F74">
        <v>3</v>
      </c>
      <c r="G74">
        <v>30</v>
      </c>
      <c r="H74" t="s">
        <v>13</v>
      </c>
      <c r="I74">
        <v>16.317699999999999</v>
      </c>
    </row>
    <row r="75" spans="1:10" x14ac:dyDescent="0.2">
      <c r="A75">
        <v>4767008</v>
      </c>
      <c r="B75" t="s">
        <v>9</v>
      </c>
      <c r="C75">
        <v>210000</v>
      </c>
      <c r="D75" s="1" t="d">
        <v>2006-09-20</v>
      </c>
      <c r="E75">
        <v>2006</v>
      </c>
      <c r="F75">
        <v>9</v>
      </c>
      <c r="G75">
        <v>20</v>
      </c>
      <c r="H75" t="s">
        <v>13</v>
      </c>
      <c r="I75">
        <v>16.317699999999999</v>
      </c>
      <c r="J75">
        <v>2140</v>
      </c>
    </row>
    <row r="76" spans="1:10" x14ac:dyDescent="0.2">
      <c r="A76">
        <v>7620040</v>
      </c>
      <c r="B76" t="s">
        <v>9</v>
      </c>
      <c r="C76">
        <v>210000</v>
      </c>
      <c r="D76" s="1" t="d">
        <v>2016-11-18</v>
      </c>
      <c r="E76">
        <v>2016</v>
      </c>
      <c r="F76">
        <v>11</v>
      </c>
      <c r="G76">
        <v>18</v>
      </c>
      <c r="H76" t="s">
        <v>13</v>
      </c>
      <c r="I76">
        <v>16.317699999999999</v>
      </c>
    </row>
    <row r="77" spans="1:10" x14ac:dyDescent="0.2">
      <c r="A77">
        <v>7620004</v>
      </c>
      <c r="B77" t="s">
        <v>9</v>
      </c>
      <c r="C77">
        <v>211000</v>
      </c>
      <c r="D77" s="1" t="d">
        <v>2015-12-01</v>
      </c>
      <c r="E77">
        <v>2015</v>
      </c>
      <c r="F77">
        <v>12</v>
      </c>
      <c r="G77">
        <v>1</v>
      </c>
      <c r="H77" t="s">
        <v>13</v>
      </c>
      <c r="I77">
        <v>16.317699999999999</v>
      </c>
    </row>
    <row r="78" spans="1:10" x14ac:dyDescent="0.2">
      <c r="A78">
        <v>4767042</v>
      </c>
      <c r="B78" t="s">
        <v>9</v>
      </c>
      <c r="C78">
        <v>215000</v>
      </c>
      <c r="D78" s="1" t="d">
        <v>2007-11-06</v>
      </c>
      <c r="E78">
        <v>2007</v>
      </c>
      <c r="F78">
        <v>11</v>
      </c>
      <c r="G78">
        <v>6</v>
      </c>
      <c r="H78" t="s">
        <v>13</v>
      </c>
      <c r="I78">
        <v>16.317699999999999</v>
      </c>
      <c r="J78">
        <v>2140</v>
      </c>
    </row>
    <row r="79" spans="1:10" x14ac:dyDescent="0.2">
      <c r="A79">
        <v>4767065</v>
      </c>
      <c r="B79" t="s">
        <v>9</v>
      </c>
      <c r="C79">
        <v>215000</v>
      </c>
      <c r="D79" s="1" t="d">
        <v>2009-07-31</v>
      </c>
      <c r="E79">
        <v>2009</v>
      </c>
      <c r="F79">
        <v>7</v>
      </c>
      <c r="G79">
        <v>31</v>
      </c>
      <c r="H79" t="s">
        <v>11</v>
      </c>
      <c r="I79">
        <v>16.317699999999999</v>
      </c>
      <c r="J79">
        <v>2140</v>
      </c>
    </row>
    <row r="80" spans="1:10" x14ac:dyDescent="0.2">
      <c r="A80">
        <v>4766904</v>
      </c>
      <c r="B80" t="s">
        <v>9</v>
      </c>
      <c r="C80">
        <v>216000</v>
      </c>
      <c r="D80" s="1" t="d">
        <v>2001-12-06</v>
      </c>
      <c r="E80">
        <v>2001</v>
      </c>
      <c r="F80">
        <v>12</v>
      </c>
      <c r="G80">
        <v>6</v>
      </c>
      <c r="H80" t="s">
        <v>13</v>
      </c>
      <c r="I80">
        <v>16.317699999999999</v>
      </c>
      <c r="J80">
        <v>2140</v>
      </c>
    </row>
    <row r="81" spans="1:10" x14ac:dyDescent="0.2">
      <c r="A81">
        <v>4766912</v>
      </c>
      <c r="B81" t="s">
        <v>9</v>
      </c>
      <c r="C81">
        <v>217500</v>
      </c>
      <c r="D81" s="1" t="d">
        <v>2001-03-21</v>
      </c>
      <c r="E81">
        <v>2001</v>
      </c>
      <c r="F81">
        <v>3</v>
      </c>
      <c r="G81">
        <v>21</v>
      </c>
      <c r="H81" t="s">
        <v>11</v>
      </c>
      <c r="I81">
        <v>16.317699999999999</v>
      </c>
      <c r="J81">
        <v>2140</v>
      </c>
    </row>
    <row r="82" spans="1:10" x14ac:dyDescent="0.2">
      <c r="A82">
        <v>7619941</v>
      </c>
      <c r="B82" t="s">
        <v>9</v>
      </c>
      <c r="C82">
        <v>217500</v>
      </c>
      <c r="D82" s="1" t="d">
        <v>2011-03-22</v>
      </c>
      <c r="E82">
        <v>2011</v>
      </c>
      <c r="F82">
        <v>3</v>
      </c>
      <c r="G82">
        <v>22</v>
      </c>
      <c r="H82" t="s">
        <v>13</v>
      </c>
      <c r="I82">
        <v>16.317699999999999</v>
      </c>
    </row>
    <row r="83" spans="1:10" x14ac:dyDescent="0.2">
      <c r="A83">
        <v>4767001</v>
      </c>
      <c r="B83" t="s">
        <v>9</v>
      </c>
      <c r="C83">
        <v>218000</v>
      </c>
      <c r="D83" s="1" t="d">
        <v>2005-01-25</v>
      </c>
      <c r="E83">
        <v>2005</v>
      </c>
      <c r="F83">
        <v>1</v>
      </c>
      <c r="G83">
        <v>25</v>
      </c>
      <c r="H83" t="s">
        <v>13</v>
      </c>
      <c r="I83">
        <v>16.317699999999999</v>
      </c>
      <c r="J83">
        <v>2140</v>
      </c>
    </row>
    <row r="84" spans="1:10" x14ac:dyDescent="0.2">
      <c r="A84">
        <v>4766915</v>
      </c>
      <c r="B84" t="s">
        <v>9</v>
      </c>
      <c r="C84">
        <v>220000</v>
      </c>
      <c r="D84" s="1" t="d">
        <v>2001-09-07</v>
      </c>
      <c r="E84">
        <v>2001</v>
      </c>
      <c r="F84">
        <v>9</v>
      </c>
      <c r="G84">
        <v>7</v>
      </c>
      <c r="H84" t="s">
        <v>10</v>
      </c>
      <c r="I84">
        <v>16.317699999999999</v>
      </c>
      <c r="J84">
        <v>2140</v>
      </c>
    </row>
    <row r="85" spans="1:10" x14ac:dyDescent="0.2">
      <c r="A85">
        <v>4766988</v>
      </c>
      <c r="B85" t="s">
        <v>9</v>
      </c>
      <c r="C85">
        <v>220000</v>
      </c>
      <c r="D85" s="1" t="d">
        <v>2005-11-01</v>
      </c>
      <c r="E85">
        <v>2005</v>
      </c>
      <c r="F85">
        <v>11</v>
      </c>
      <c r="G85">
        <v>1</v>
      </c>
      <c r="H85" t="s">
        <v>11</v>
      </c>
      <c r="I85">
        <v>16.317699999999999</v>
      </c>
      <c r="J85">
        <v>2140</v>
      </c>
    </row>
    <row r="86" spans="1:10" x14ac:dyDescent="0.2">
      <c r="A86">
        <v>7619946</v>
      </c>
      <c r="B86" t="s">
        <v>9</v>
      </c>
      <c r="C86">
        <v>220000</v>
      </c>
      <c r="D86" s="1" t="d">
        <v>2011-10-31</v>
      </c>
      <c r="E86">
        <v>2011</v>
      </c>
      <c r="F86">
        <v>10</v>
      </c>
      <c r="G86">
        <v>31</v>
      </c>
      <c r="H86" t="s">
        <v>13</v>
      </c>
      <c r="I86">
        <v>16.317699999999999</v>
      </c>
    </row>
    <row r="87" spans="1:10" x14ac:dyDescent="0.2">
      <c r="A87">
        <v>7620021</v>
      </c>
      <c r="B87" t="s">
        <v>9</v>
      </c>
      <c r="C87">
        <v>221000</v>
      </c>
      <c r="D87" s="1" t="d">
        <v>2015-10-30</v>
      </c>
      <c r="E87">
        <v>2015</v>
      </c>
      <c r="F87">
        <v>10</v>
      </c>
      <c r="G87">
        <v>30</v>
      </c>
      <c r="H87" t="s">
        <v>13</v>
      </c>
      <c r="I87">
        <v>16.317699999999999</v>
      </c>
    </row>
    <row r="88" spans="1:10" x14ac:dyDescent="0.2">
      <c r="A88">
        <v>7619998</v>
      </c>
      <c r="B88" t="s">
        <v>9</v>
      </c>
      <c r="C88">
        <v>222500</v>
      </c>
      <c r="D88" s="1" t="d">
        <v>2014-12-09</v>
      </c>
      <c r="E88">
        <v>2014</v>
      </c>
      <c r="F88">
        <v>12</v>
      </c>
      <c r="G88">
        <v>9</v>
      </c>
      <c r="H88" t="s">
        <v>13</v>
      </c>
      <c r="I88">
        <v>16.317699999999999</v>
      </c>
    </row>
    <row r="89" spans="1:10" x14ac:dyDescent="0.2">
      <c r="A89">
        <v>4766920</v>
      </c>
      <c r="B89" t="s">
        <v>9</v>
      </c>
      <c r="C89">
        <v>225000</v>
      </c>
      <c r="D89" s="1" t="d">
        <v>2002-09-30</v>
      </c>
      <c r="E89">
        <v>2002</v>
      </c>
      <c r="F89">
        <v>9</v>
      </c>
      <c r="G89">
        <v>30</v>
      </c>
      <c r="H89" t="s">
        <v>13</v>
      </c>
      <c r="I89">
        <v>16.317699999999999</v>
      </c>
      <c r="J89">
        <v>2140</v>
      </c>
    </row>
    <row r="90" spans="1:10" x14ac:dyDescent="0.2">
      <c r="A90">
        <v>4766931</v>
      </c>
      <c r="B90" t="s">
        <v>9</v>
      </c>
      <c r="C90">
        <v>225000</v>
      </c>
      <c r="D90" s="1" t="d">
        <v>2002-11-28</v>
      </c>
      <c r="E90">
        <v>2002</v>
      </c>
      <c r="F90">
        <v>11</v>
      </c>
      <c r="G90">
        <v>28</v>
      </c>
      <c r="H90" t="s">
        <v>13</v>
      </c>
      <c r="I90">
        <v>16.317699999999999</v>
      </c>
      <c r="J90">
        <v>2140</v>
      </c>
    </row>
    <row r="91" spans="1:10" x14ac:dyDescent="0.2">
      <c r="A91">
        <v>4766975</v>
      </c>
      <c r="B91" t="s">
        <v>9</v>
      </c>
      <c r="C91">
        <v>225000</v>
      </c>
      <c r="D91" s="1" t="d">
        <v>2004-11-01</v>
      </c>
      <c r="E91">
        <v>2004</v>
      </c>
      <c r="F91">
        <v>11</v>
      </c>
      <c r="G91">
        <v>1</v>
      </c>
      <c r="H91" t="s">
        <v>13</v>
      </c>
      <c r="I91">
        <v>16.317699999999999</v>
      </c>
      <c r="J91">
        <v>2140</v>
      </c>
    </row>
    <row r="92" spans="1:10" x14ac:dyDescent="0.2">
      <c r="A92">
        <v>4767071</v>
      </c>
      <c r="B92" t="s">
        <v>9</v>
      </c>
      <c r="C92">
        <v>225000</v>
      </c>
      <c r="D92" s="1" t="d">
        <v>2009-12-07</v>
      </c>
      <c r="E92">
        <v>2009</v>
      </c>
      <c r="F92">
        <v>12</v>
      </c>
      <c r="G92">
        <v>7</v>
      </c>
      <c r="H92" t="s">
        <v>13</v>
      </c>
      <c r="I92">
        <v>16.317699999999999</v>
      </c>
      <c r="J92">
        <v>2140</v>
      </c>
    </row>
    <row r="93" spans="1:10" x14ac:dyDescent="0.2">
      <c r="A93">
        <v>7619943</v>
      </c>
      <c r="B93" t="s">
        <v>9</v>
      </c>
      <c r="C93">
        <v>225000</v>
      </c>
      <c r="D93" s="1" t="d">
        <v>2011-10-26</v>
      </c>
      <c r="E93">
        <v>2011</v>
      </c>
      <c r="F93">
        <v>10</v>
      </c>
      <c r="G93">
        <v>26</v>
      </c>
      <c r="H93" t="s">
        <v>11</v>
      </c>
      <c r="I93">
        <v>16.317699999999999</v>
      </c>
    </row>
    <row r="94" spans="1:10" x14ac:dyDescent="0.2">
      <c r="A94">
        <v>7620009</v>
      </c>
      <c r="B94" t="s">
        <v>9</v>
      </c>
      <c r="C94">
        <v>225000</v>
      </c>
      <c r="D94" s="1" t="d">
        <v>2015-10-19</v>
      </c>
      <c r="E94">
        <v>2015</v>
      </c>
      <c r="F94">
        <v>10</v>
      </c>
      <c r="G94">
        <v>19</v>
      </c>
      <c r="H94" t="s">
        <v>13</v>
      </c>
      <c r="I94">
        <v>16.317699999999999</v>
      </c>
    </row>
    <row r="95" spans="1:10" x14ac:dyDescent="0.2">
      <c r="A95">
        <v>7619984</v>
      </c>
      <c r="B95" t="s">
        <v>9</v>
      </c>
      <c r="C95">
        <v>228000</v>
      </c>
      <c r="D95" s="1" t="d">
        <v>2014-12-12</v>
      </c>
      <c r="E95">
        <v>2014</v>
      </c>
      <c r="F95">
        <v>12</v>
      </c>
      <c r="G95">
        <v>12</v>
      </c>
      <c r="H95" t="s">
        <v>13</v>
      </c>
      <c r="I95">
        <v>16.317699999999999</v>
      </c>
    </row>
    <row r="96" spans="1:10" x14ac:dyDescent="0.2">
      <c r="A96">
        <v>4766924</v>
      </c>
      <c r="B96" t="s">
        <v>9</v>
      </c>
      <c r="C96">
        <v>230000</v>
      </c>
      <c r="D96" s="1" t="d">
        <v>2002-04-19</v>
      </c>
      <c r="E96">
        <v>2002</v>
      </c>
      <c r="F96">
        <v>4</v>
      </c>
      <c r="G96">
        <v>19</v>
      </c>
      <c r="H96" t="s">
        <v>12</v>
      </c>
      <c r="I96">
        <v>16.317699999999999</v>
      </c>
      <c r="J96">
        <v>2140</v>
      </c>
    </row>
    <row r="97" spans="1:10" x14ac:dyDescent="0.2">
      <c r="A97">
        <v>4766966</v>
      </c>
      <c r="B97" t="s">
        <v>9</v>
      </c>
      <c r="C97">
        <v>230000</v>
      </c>
      <c r="D97" s="1" t="d">
        <v>2004-02-20</v>
      </c>
      <c r="E97">
        <v>2004</v>
      </c>
      <c r="F97">
        <v>2</v>
      </c>
      <c r="G97">
        <v>20</v>
      </c>
      <c r="H97" t="s">
        <v>13</v>
      </c>
      <c r="I97">
        <v>16.317699999999999</v>
      </c>
      <c r="J97">
        <v>2140</v>
      </c>
    </row>
    <row r="98" spans="1:10" x14ac:dyDescent="0.2">
      <c r="A98">
        <v>4767050</v>
      </c>
      <c r="B98" t="s">
        <v>9</v>
      </c>
      <c r="C98">
        <v>230000</v>
      </c>
      <c r="D98" s="1" t="d">
        <v>2008-07-31</v>
      </c>
      <c r="E98">
        <v>2008</v>
      </c>
      <c r="F98">
        <v>7</v>
      </c>
      <c r="G98">
        <v>31</v>
      </c>
      <c r="H98" t="s">
        <v>13</v>
      </c>
      <c r="I98">
        <v>16.317699999999999</v>
      </c>
      <c r="J98">
        <v>2140</v>
      </c>
    </row>
    <row r="99" spans="1:10" x14ac:dyDescent="0.2">
      <c r="A99">
        <v>4767055</v>
      </c>
      <c r="B99" t="s">
        <v>9</v>
      </c>
      <c r="C99">
        <v>230000</v>
      </c>
      <c r="D99" s="1" t="d">
        <v>2008-10-22</v>
      </c>
      <c r="E99">
        <v>2008</v>
      </c>
      <c r="F99">
        <v>10</v>
      </c>
      <c r="G99">
        <v>22</v>
      </c>
      <c r="H99" t="s">
        <v>13</v>
      </c>
      <c r="I99">
        <v>16.317699999999999</v>
      </c>
      <c r="J99">
        <v>2140</v>
      </c>
    </row>
    <row r="100" spans="1:10" x14ac:dyDescent="0.2">
      <c r="A100">
        <v>4767069</v>
      </c>
      <c r="B100" t="s">
        <v>9</v>
      </c>
      <c r="C100">
        <v>230000</v>
      </c>
      <c r="D100" s="1" t="d">
        <v>2009-07-24</v>
      </c>
      <c r="E100">
        <v>2009</v>
      </c>
      <c r="F100">
        <v>7</v>
      </c>
      <c r="G100">
        <v>24</v>
      </c>
      <c r="H100" t="s">
        <v>13</v>
      </c>
      <c r="I100">
        <v>16.317699999999999</v>
      </c>
      <c r="J100">
        <v>2140</v>
      </c>
    </row>
    <row r="101" spans="1:10" x14ac:dyDescent="0.2">
      <c r="A101">
        <v>7620003</v>
      </c>
      <c r="B101" t="s">
        <v>9</v>
      </c>
      <c r="C101">
        <v>230000</v>
      </c>
      <c r="D101" s="1" t="d">
        <v>2015-11-09</v>
      </c>
      <c r="E101">
        <v>2015</v>
      </c>
      <c r="F101">
        <v>11</v>
      </c>
      <c r="G101">
        <v>9</v>
      </c>
      <c r="H101" t="s">
        <v>13</v>
      </c>
      <c r="I101">
        <v>16.317699999999999</v>
      </c>
    </row>
    <row r="102" spans="1:10" x14ac:dyDescent="0.2">
      <c r="A102">
        <v>7619967</v>
      </c>
      <c r="B102" t="s">
        <v>9</v>
      </c>
      <c r="C102">
        <v>233500</v>
      </c>
      <c r="D102" s="1" t="d">
        <v>2012-07-18</v>
      </c>
      <c r="E102">
        <v>2012</v>
      </c>
      <c r="F102">
        <v>7</v>
      </c>
      <c r="G102">
        <v>18</v>
      </c>
      <c r="H102" t="s">
        <v>12</v>
      </c>
      <c r="I102">
        <v>16.317699999999999</v>
      </c>
    </row>
    <row r="103" spans="1:10" x14ac:dyDescent="0.2">
      <c r="A103">
        <v>7619985</v>
      </c>
      <c r="B103" t="s">
        <v>9</v>
      </c>
      <c r="C103">
        <v>235000</v>
      </c>
      <c r="D103" s="1" t="d">
        <v>2014-03-12</v>
      </c>
      <c r="E103">
        <v>2014</v>
      </c>
      <c r="F103">
        <v>3</v>
      </c>
      <c r="G103">
        <v>12</v>
      </c>
      <c r="H103" t="s">
        <v>11</v>
      </c>
      <c r="I103">
        <v>16.317699999999999</v>
      </c>
    </row>
    <row r="104" spans="1:10" x14ac:dyDescent="0.2">
      <c r="A104">
        <v>7619993</v>
      </c>
      <c r="B104" t="s">
        <v>9</v>
      </c>
      <c r="C104">
        <v>235000</v>
      </c>
      <c r="D104" s="1" t="d">
        <v>2014-09-24</v>
      </c>
      <c r="E104">
        <v>2014</v>
      </c>
      <c r="F104">
        <v>9</v>
      </c>
      <c r="G104">
        <v>24</v>
      </c>
      <c r="H104" t="s">
        <v>13</v>
      </c>
      <c r="I104">
        <v>16.317699999999999</v>
      </c>
    </row>
    <row r="105" spans="1:10" x14ac:dyDescent="0.2">
      <c r="A105">
        <v>7620063</v>
      </c>
      <c r="B105" t="s">
        <v>9</v>
      </c>
      <c r="C105">
        <v>235000</v>
      </c>
      <c r="D105" s="1" t="d">
        <v>2017-04-05</v>
      </c>
      <c r="E105">
        <v>2017</v>
      </c>
      <c r="F105">
        <v>4</v>
      </c>
      <c r="G105">
        <v>5</v>
      </c>
      <c r="H105" t="s">
        <v>13</v>
      </c>
      <c r="I105">
        <v>16.317699999999999</v>
      </c>
    </row>
    <row r="106" spans="1:10" x14ac:dyDescent="0.2">
      <c r="A106">
        <v>4766984</v>
      </c>
      <c r="B106" t="s">
        <v>9</v>
      </c>
      <c r="C106">
        <v>240000</v>
      </c>
      <c r="D106" s="1" t="d">
        <v>2004-09-08</v>
      </c>
      <c r="E106">
        <v>2004</v>
      </c>
      <c r="F106">
        <v>9</v>
      </c>
      <c r="G106">
        <v>8</v>
      </c>
      <c r="H106" t="s">
        <v>13</v>
      </c>
      <c r="I106">
        <v>16.317699999999999</v>
      </c>
      <c r="J106">
        <v>2140</v>
      </c>
    </row>
    <row r="107" spans="1:10" x14ac:dyDescent="0.2">
      <c r="A107">
        <v>4767019</v>
      </c>
      <c r="B107" t="s">
        <v>9</v>
      </c>
      <c r="C107">
        <v>240000</v>
      </c>
      <c r="D107" s="1" t="d">
        <v>2006-12-12</v>
      </c>
      <c r="E107">
        <v>2006</v>
      </c>
      <c r="F107">
        <v>12</v>
      </c>
      <c r="G107">
        <v>12</v>
      </c>
      <c r="H107" t="s">
        <v>13</v>
      </c>
      <c r="I107">
        <v>16.317699999999999</v>
      </c>
      <c r="J107">
        <v>2140</v>
      </c>
    </row>
    <row r="108" spans="1:10" x14ac:dyDescent="0.2">
      <c r="A108">
        <v>4767070</v>
      </c>
      <c r="B108" t="s">
        <v>9</v>
      </c>
      <c r="C108">
        <v>240000</v>
      </c>
      <c r="D108" s="1" t="d">
        <v>2009-09-17</v>
      </c>
      <c r="E108">
        <v>2009</v>
      </c>
      <c r="F108">
        <v>9</v>
      </c>
      <c r="G108">
        <v>17</v>
      </c>
      <c r="H108" t="s">
        <v>13</v>
      </c>
      <c r="I108">
        <v>16.317699999999999</v>
      </c>
      <c r="J108">
        <v>2140</v>
      </c>
    </row>
    <row r="109" spans="1:10" x14ac:dyDescent="0.2">
      <c r="A109">
        <v>7619980</v>
      </c>
      <c r="B109" t="s">
        <v>9</v>
      </c>
      <c r="C109">
        <v>240000</v>
      </c>
      <c r="D109" s="1" t="d">
        <v>2013-11-19</v>
      </c>
      <c r="E109">
        <v>2013</v>
      </c>
      <c r="F109">
        <v>11</v>
      </c>
      <c r="G109">
        <v>19</v>
      </c>
      <c r="H109" t="s">
        <v>11</v>
      </c>
      <c r="I109">
        <v>16.317699999999999</v>
      </c>
    </row>
    <row r="110" spans="1:10" x14ac:dyDescent="0.2">
      <c r="A110">
        <v>7620057</v>
      </c>
      <c r="B110" t="s">
        <v>9</v>
      </c>
      <c r="C110">
        <v>240000</v>
      </c>
      <c r="D110" s="1" t="d">
        <v>2017-04-20</v>
      </c>
      <c r="E110">
        <v>2017</v>
      </c>
      <c r="F110">
        <v>4</v>
      </c>
      <c r="G110">
        <v>20</v>
      </c>
      <c r="H110" t="s">
        <v>13</v>
      </c>
      <c r="I110">
        <v>16.317699999999999</v>
      </c>
    </row>
    <row r="111" spans="1:10" x14ac:dyDescent="0.2">
      <c r="A111">
        <v>4767075</v>
      </c>
      <c r="B111" t="s">
        <v>9</v>
      </c>
      <c r="C111">
        <v>242000</v>
      </c>
      <c r="D111" s="1" t="d">
        <v>2010-10-29</v>
      </c>
      <c r="E111">
        <v>2010</v>
      </c>
      <c r="F111">
        <v>10</v>
      </c>
      <c r="G111">
        <v>29</v>
      </c>
      <c r="H111" t="s">
        <v>10</v>
      </c>
      <c r="I111">
        <v>16.317699999999999</v>
      </c>
      <c r="J111">
        <v>2140</v>
      </c>
    </row>
    <row r="112" spans="1:10" x14ac:dyDescent="0.2">
      <c r="A112">
        <v>7619956</v>
      </c>
      <c r="B112" t="s">
        <v>9</v>
      </c>
      <c r="C112">
        <v>244601</v>
      </c>
      <c r="D112" s="1" t="d">
        <v>2011-01-07</v>
      </c>
      <c r="E112">
        <v>2011</v>
      </c>
      <c r="F112">
        <v>1</v>
      </c>
      <c r="G112">
        <v>7</v>
      </c>
      <c r="H112" t="s">
        <v>11</v>
      </c>
      <c r="I112">
        <v>16.317699999999999</v>
      </c>
    </row>
    <row r="113" spans="1:10" x14ac:dyDescent="0.2">
      <c r="A113">
        <v>4767047</v>
      </c>
      <c r="B113" t="s">
        <v>9</v>
      </c>
      <c r="C113">
        <v>245000</v>
      </c>
      <c r="D113" s="1" t="d">
        <v>2007-09-03</v>
      </c>
      <c r="E113">
        <v>2007</v>
      </c>
      <c r="F113">
        <v>9</v>
      </c>
      <c r="G113">
        <v>3</v>
      </c>
      <c r="H113" t="s">
        <v>13</v>
      </c>
      <c r="I113">
        <v>16.317699999999999</v>
      </c>
      <c r="J113">
        <v>2140</v>
      </c>
    </row>
    <row r="114" spans="1:10" x14ac:dyDescent="0.2">
      <c r="A114">
        <v>7620005</v>
      </c>
      <c r="B114" t="s">
        <v>9</v>
      </c>
      <c r="C114">
        <v>245000</v>
      </c>
      <c r="D114" s="1" t="d">
        <v>2015-11-18</v>
      </c>
      <c r="E114">
        <v>2015</v>
      </c>
      <c r="F114">
        <v>11</v>
      </c>
      <c r="G114">
        <v>18</v>
      </c>
      <c r="H114" t="s">
        <v>11</v>
      </c>
      <c r="I114">
        <v>16.317699999999999</v>
      </c>
    </row>
    <row r="115" spans="1:10" x14ac:dyDescent="0.2">
      <c r="A115">
        <v>4766995</v>
      </c>
      <c r="B115" t="s">
        <v>9</v>
      </c>
      <c r="C115">
        <v>247500</v>
      </c>
      <c r="D115" s="1" t="d">
        <v>2005-11-23</v>
      </c>
      <c r="E115">
        <v>2005</v>
      </c>
      <c r="F115">
        <v>11</v>
      </c>
      <c r="G115">
        <v>23</v>
      </c>
      <c r="H115" t="s">
        <v>13</v>
      </c>
      <c r="I115">
        <v>16.317699999999999</v>
      </c>
      <c r="J115">
        <v>2140</v>
      </c>
    </row>
    <row r="116" spans="1:10" x14ac:dyDescent="0.2">
      <c r="A116">
        <v>7620000</v>
      </c>
      <c r="B116" t="s">
        <v>9</v>
      </c>
      <c r="C116">
        <v>247500</v>
      </c>
      <c r="D116" s="1" t="d">
        <v>2014-08-19</v>
      </c>
      <c r="E116">
        <v>2014</v>
      </c>
      <c r="F116">
        <v>8</v>
      </c>
      <c r="G116">
        <v>19</v>
      </c>
      <c r="H116" t="s">
        <v>14</v>
      </c>
      <c r="I116">
        <v>16.317699999999999</v>
      </c>
    </row>
    <row r="117" spans="1:10" x14ac:dyDescent="0.2">
      <c r="A117">
        <v>4766923</v>
      </c>
      <c r="B117" t="s">
        <v>9</v>
      </c>
      <c r="C117">
        <v>248000</v>
      </c>
      <c r="D117" s="1" t="d">
        <v>2002-11-20</v>
      </c>
      <c r="E117">
        <v>2002</v>
      </c>
      <c r="F117">
        <v>11</v>
      </c>
      <c r="G117">
        <v>20</v>
      </c>
      <c r="H117" t="s">
        <v>11</v>
      </c>
      <c r="I117">
        <v>16.317699999999999</v>
      </c>
      <c r="J117">
        <v>2140</v>
      </c>
    </row>
    <row r="118" spans="1:10" x14ac:dyDescent="0.2">
      <c r="A118">
        <v>4767032</v>
      </c>
      <c r="B118" t="s">
        <v>9</v>
      </c>
      <c r="C118">
        <v>248000</v>
      </c>
      <c r="D118" s="1" t="d">
        <v>2007-01-19</v>
      </c>
      <c r="E118">
        <v>2007</v>
      </c>
      <c r="F118">
        <v>1</v>
      </c>
      <c r="G118">
        <v>19</v>
      </c>
      <c r="H118" t="s">
        <v>13</v>
      </c>
      <c r="I118">
        <v>16.317699999999999</v>
      </c>
      <c r="J118">
        <v>2140</v>
      </c>
    </row>
    <row r="119" spans="1:10" x14ac:dyDescent="0.2">
      <c r="A119">
        <v>4766947</v>
      </c>
      <c r="B119" t="s">
        <v>9</v>
      </c>
      <c r="C119">
        <v>249950</v>
      </c>
      <c r="D119" s="1" t="d">
        <v>2003-01-15</v>
      </c>
      <c r="E119">
        <v>2003</v>
      </c>
      <c r="F119">
        <v>1</v>
      </c>
      <c r="G119">
        <v>15</v>
      </c>
      <c r="H119" t="s">
        <v>13</v>
      </c>
      <c r="I119">
        <v>16.317699999999999</v>
      </c>
      <c r="J119">
        <v>2140</v>
      </c>
    </row>
    <row r="120" spans="1:10" x14ac:dyDescent="0.2">
      <c r="A120">
        <v>7619978</v>
      </c>
      <c r="B120" t="s">
        <v>9</v>
      </c>
      <c r="C120">
        <v>249950</v>
      </c>
      <c r="D120" s="1" t="d">
        <v>2013-04-18</v>
      </c>
      <c r="E120">
        <v>2013</v>
      </c>
      <c r="F120">
        <v>4</v>
      </c>
      <c r="G120">
        <v>18</v>
      </c>
      <c r="H120" t="s">
        <v>10</v>
      </c>
      <c r="I120">
        <v>16.317699999999999</v>
      </c>
    </row>
    <row r="121" spans="1:10" x14ac:dyDescent="0.2">
      <c r="A121">
        <v>4766922</v>
      </c>
      <c r="B121" t="s">
        <v>9</v>
      </c>
      <c r="C121">
        <v>250000</v>
      </c>
      <c r="D121" s="1" t="d">
        <v>2002-04-05</v>
      </c>
      <c r="E121">
        <v>2002</v>
      </c>
      <c r="F121">
        <v>4</v>
      </c>
      <c r="G121">
        <v>5</v>
      </c>
      <c r="H121" t="s">
        <v>10</v>
      </c>
      <c r="I121">
        <v>16.317699999999999</v>
      </c>
      <c r="J121">
        <v>2140</v>
      </c>
    </row>
    <row r="122" spans="1:10" x14ac:dyDescent="0.2">
      <c r="A122">
        <v>4766953</v>
      </c>
      <c r="B122" t="s">
        <v>9</v>
      </c>
      <c r="C122">
        <v>250000</v>
      </c>
      <c r="D122" s="1" t="d">
        <v>2003-05-23</v>
      </c>
      <c r="E122">
        <v>2003</v>
      </c>
      <c r="F122">
        <v>5</v>
      </c>
      <c r="G122">
        <v>23</v>
      </c>
      <c r="H122" t="s">
        <v>13</v>
      </c>
      <c r="I122">
        <v>16.317699999999999</v>
      </c>
      <c r="J122">
        <v>2140</v>
      </c>
    </row>
    <row r="123" spans="1:10" x14ac:dyDescent="0.2">
      <c r="A123">
        <v>4766959</v>
      </c>
      <c r="B123" t="s">
        <v>9</v>
      </c>
      <c r="C123">
        <v>250000</v>
      </c>
      <c r="D123" s="1" t="d">
        <v>2003-03-28</v>
      </c>
      <c r="E123">
        <v>2003</v>
      </c>
      <c r="F123">
        <v>3</v>
      </c>
      <c r="G123">
        <v>28</v>
      </c>
      <c r="H123" t="s">
        <v>13</v>
      </c>
      <c r="I123">
        <v>16.317699999999999</v>
      </c>
      <c r="J123">
        <v>2140</v>
      </c>
    </row>
    <row r="124" spans="1:10" x14ac:dyDescent="0.2">
      <c r="A124">
        <v>4766965</v>
      </c>
      <c r="B124" t="s">
        <v>9</v>
      </c>
      <c r="C124">
        <v>250000</v>
      </c>
      <c r="D124" s="1" t="d">
        <v>2004-07-16</v>
      </c>
      <c r="E124">
        <v>2004</v>
      </c>
      <c r="F124">
        <v>7</v>
      </c>
      <c r="G124">
        <v>16</v>
      </c>
      <c r="H124" t="s">
        <v>13</v>
      </c>
      <c r="I124">
        <v>16.317699999999999</v>
      </c>
      <c r="J124">
        <v>2140</v>
      </c>
    </row>
    <row r="125" spans="1:10" x14ac:dyDescent="0.2">
      <c r="A125">
        <v>4766985</v>
      </c>
      <c r="B125" t="s">
        <v>9</v>
      </c>
      <c r="C125">
        <v>250000</v>
      </c>
      <c r="D125" s="1" t="d">
        <v>2004-11-10</v>
      </c>
      <c r="E125">
        <v>2004</v>
      </c>
      <c r="F125">
        <v>11</v>
      </c>
      <c r="G125">
        <v>10</v>
      </c>
      <c r="H125" t="s">
        <v>13</v>
      </c>
      <c r="I125">
        <v>16.317699999999999</v>
      </c>
      <c r="J125">
        <v>2140</v>
      </c>
    </row>
    <row r="126" spans="1:10" x14ac:dyDescent="0.2">
      <c r="A126">
        <v>4766989</v>
      </c>
      <c r="B126" t="s">
        <v>9</v>
      </c>
      <c r="C126">
        <v>250000</v>
      </c>
      <c r="D126" s="1" t="d">
        <v>2005-05-03</v>
      </c>
      <c r="E126">
        <v>2005</v>
      </c>
      <c r="F126">
        <v>5</v>
      </c>
      <c r="G126">
        <v>3</v>
      </c>
      <c r="H126" t="s">
        <v>13</v>
      </c>
      <c r="I126">
        <v>16.317699999999999</v>
      </c>
      <c r="J126">
        <v>2140</v>
      </c>
    </row>
    <row r="127" spans="1:10" x14ac:dyDescent="0.2">
      <c r="A127">
        <v>4766990</v>
      </c>
      <c r="B127" t="s">
        <v>9</v>
      </c>
      <c r="C127">
        <v>250000</v>
      </c>
      <c r="D127" s="1" t="d">
        <v>2005-11-01</v>
      </c>
      <c r="E127">
        <v>2005</v>
      </c>
      <c r="F127">
        <v>11</v>
      </c>
      <c r="G127">
        <v>1</v>
      </c>
      <c r="H127" t="s">
        <v>13</v>
      </c>
      <c r="I127">
        <v>16.317699999999999</v>
      </c>
      <c r="J127">
        <v>2140</v>
      </c>
    </row>
    <row r="128" spans="1:10" x14ac:dyDescent="0.2">
      <c r="A128">
        <v>4767035</v>
      </c>
      <c r="B128" t="s">
        <v>9</v>
      </c>
      <c r="C128">
        <v>250000</v>
      </c>
      <c r="D128" s="1" t="d">
        <v>2007-10-18</v>
      </c>
      <c r="E128">
        <v>2007</v>
      </c>
      <c r="F128">
        <v>10</v>
      </c>
      <c r="G128">
        <v>18</v>
      </c>
      <c r="H128" t="s">
        <v>13</v>
      </c>
      <c r="I128">
        <v>16.317699999999999</v>
      </c>
      <c r="J128">
        <v>2140</v>
      </c>
    </row>
    <row r="129" spans="1:10" x14ac:dyDescent="0.2">
      <c r="A129">
        <v>4767039</v>
      </c>
      <c r="B129" t="s">
        <v>9</v>
      </c>
      <c r="C129">
        <v>250000</v>
      </c>
      <c r="D129" s="1" t="d">
        <v>2007-03-29</v>
      </c>
      <c r="E129">
        <v>2007</v>
      </c>
      <c r="F129">
        <v>3</v>
      </c>
      <c r="G129">
        <v>29</v>
      </c>
      <c r="H129" t="s">
        <v>12</v>
      </c>
      <c r="I129">
        <v>16.317699999999999</v>
      </c>
      <c r="J129">
        <v>2140</v>
      </c>
    </row>
    <row r="130" spans="1:10" x14ac:dyDescent="0.2">
      <c r="A130">
        <v>7619959</v>
      </c>
      <c r="B130" t="s">
        <v>9</v>
      </c>
      <c r="C130">
        <v>250000</v>
      </c>
      <c r="D130" s="1" t="d">
        <v>2012-11-16</v>
      </c>
      <c r="E130">
        <v>2012</v>
      </c>
      <c r="F130">
        <v>11</v>
      </c>
      <c r="G130">
        <v>16</v>
      </c>
      <c r="H130" t="s">
        <v>12</v>
      </c>
      <c r="I130">
        <v>16.317699999999999</v>
      </c>
    </row>
    <row r="131" spans="1:10" x14ac:dyDescent="0.2">
      <c r="A131">
        <v>7619962</v>
      </c>
      <c r="B131" t="s">
        <v>9</v>
      </c>
      <c r="C131">
        <v>250000</v>
      </c>
      <c r="D131" s="1" t="d">
        <v>2012-01-12</v>
      </c>
      <c r="E131">
        <v>2012</v>
      </c>
      <c r="F131">
        <v>1</v>
      </c>
      <c r="G131">
        <v>12</v>
      </c>
      <c r="H131" t="s">
        <v>12</v>
      </c>
      <c r="I131">
        <v>16.317699999999999</v>
      </c>
    </row>
    <row r="132" spans="1:10" x14ac:dyDescent="0.2">
      <c r="A132">
        <v>4767034</v>
      </c>
      <c r="B132" t="s">
        <v>9</v>
      </c>
      <c r="C132">
        <v>265000</v>
      </c>
      <c r="D132" s="1" t="d">
        <v>2007-11-28</v>
      </c>
      <c r="E132">
        <v>2007</v>
      </c>
      <c r="F132">
        <v>11</v>
      </c>
      <c r="G132">
        <v>28</v>
      </c>
      <c r="H132" t="s">
        <v>13</v>
      </c>
      <c r="I132">
        <v>16.317699999999999</v>
      </c>
      <c r="J132">
        <v>2140</v>
      </c>
    </row>
    <row r="133" spans="1:10" x14ac:dyDescent="0.2">
      <c r="A133">
        <v>7620011</v>
      </c>
      <c r="B133" t="s">
        <v>9</v>
      </c>
      <c r="C133">
        <v>265000</v>
      </c>
      <c r="D133" s="1" t="d">
        <v>2015-12-09</v>
      </c>
      <c r="E133">
        <v>2015</v>
      </c>
      <c r="F133">
        <v>12</v>
      </c>
      <c r="G133">
        <v>9</v>
      </c>
      <c r="H133" t="s">
        <v>13</v>
      </c>
      <c r="I133">
        <v>16.317699999999999</v>
      </c>
    </row>
    <row r="134" spans="1:10" x14ac:dyDescent="0.2">
      <c r="A134">
        <v>7620065</v>
      </c>
      <c r="B134" t="s">
        <v>9</v>
      </c>
      <c r="C134">
        <v>265000</v>
      </c>
      <c r="D134" s="1" t="d">
        <v>2017-03-30</v>
      </c>
      <c r="E134">
        <v>2017</v>
      </c>
      <c r="F134">
        <v>3</v>
      </c>
      <c r="G134">
        <v>30</v>
      </c>
      <c r="H134" t="s">
        <v>13</v>
      </c>
      <c r="I134">
        <v>16.317699999999999</v>
      </c>
    </row>
    <row r="135" spans="1:10" x14ac:dyDescent="0.2">
      <c r="A135">
        <v>4766908</v>
      </c>
      <c r="B135" t="s">
        <v>9</v>
      </c>
      <c r="C135">
        <v>270000</v>
      </c>
      <c r="D135" s="1" t="d">
        <v>2001-02-23</v>
      </c>
      <c r="E135">
        <v>2001</v>
      </c>
      <c r="F135">
        <v>2</v>
      </c>
      <c r="G135">
        <v>23</v>
      </c>
      <c r="H135" t="s">
        <v>11</v>
      </c>
      <c r="I135">
        <v>16.317699999999999</v>
      </c>
      <c r="J135">
        <v>2140</v>
      </c>
    </row>
    <row r="136" spans="1:10" x14ac:dyDescent="0.2">
      <c r="A136">
        <v>4766950</v>
      </c>
      <c r="B136" t="s">
        <v>9</v>
      </c>
      <c r="C136">
        <v>270000</v>
      </c>
      <c r="D136" s="1" t="d">
        <v>2003-10-31</v>
      </c>
      <c r="E136">
        <v>2003</v>
      </c>
      <c r="F136">
        <v>10</v>
      </c>
      <c r="G136">
        <v>31</v>
      </c>
      <c r="H136" t="s">
        <v>12</v>
      </c>
      <c r="I136">
        <v>16.317699999999999</v>
      </c>
      <c r="J136">
        <v>2140</v>
      </c>
    </row>
    <row r="137" spans="1:10" x14ac:dyDescent="0.2">
      <c r="A137">
        <v>4767037</v>
      </c>
      <c r="B137" t="s">
        <v>9</v>
      </c>
      <c r="C137">
        <v>270000</v>
      </c>
      <c r="D137" s="1" t="d">
        <v>2007-02-07</v>
      </c>
      <c r="E137">
        <v>2007</v>
      </c>
      <c r="F137">
        <v>2</v>
      </c>
      <c r="G137">
        <v>7</v>
      </c>
      <c r="H137" t="s">
        <v>13</v>
      </c>
      <c r="I137">
        <v>16.317699999999999</v>
      </c>
      <c r="J137">
        <v>2140</v>
      </c>
    </row>
    <row r="138" spans="1:10" x14ac:dyDescent="0.2">
      <c r="A138">
        <v>7619989</v>
      </c>
      <c r="B138" t="s">
        <v>9</v>
      </c>
      <c r="C138">
        <v>270000</v>
      </c>
      <c r="D138" s="1" t="d">
        <v>2014-05-09</v>
      </c>
      <c r="E138">
        <v>2014</v>
      </c>
      <c r="F138">
        <v>5</v>
      </c>
      <c r="G138">
        <v>9</v>
      </c>
      <c r="H138" t="s">
        <v>10</v>
      </c>
      <c r="I138">
        <v>16.317699999999999</v>
      </c>
    </row>
    <row r="139" spans="1:10" x14ac:dyDescent="0.2">
      <c r="A139">
        <v>7620006</v>
      </c>
      <c r="B139" t="s">
        <v>9</v>
      </c>
      <c r="C139">
        <v>270000</v>
      </c>
      <c r="D139" s="1" t="d">
        <v>2015-05-01</v>
      </c>
      <c r="E139">
        <v>2015</v>
      </c>
      <c r="F139">
        <v>5</v>
      </c>
      <c r="G139">
        <v>1</v>
      </c>
      <c r="H139" t="s">
        <v>10</v>
      </c>
      <c r="I139">
        <v>16.317699999999999</v>
      </c>
    </row>
    <row r="140" spans="1:10" x14ac:dyDescent="0.2">
      <c r="A140">
        <v>4767021</v>
      </c>
      <c r="B140" t="s">
        <v>9</v>
      </c>
      <c r="C140">
        <v>275000</v>
      </c>
      <c r="D140" s="1" t="d">
        <v>2006-10-23</v>
      </c>
      <c r="E140">
        <v>2006</v>
      </c>
      <c r="F140">
        <v>10</v>
      </c>
      <c r="G140">
        <v>23</v>
      </c>
      <c r="H140" t="s">
        <v>13</v>
      </c>
      <c r="I140">
        <v>16.317699999999999</v>
      </c>
      <c r="J140">
        <v>2140</v>
      </c>
    </row>
    <row r="141" spans="1:10" x14ac:dyDescent="0.2">
      <c r="A141">
        <v>4767025</v>
      </c>
      <c r="B141" t="s">
        <v>9</v>
      </c>
      <c r="C141">
        <v>275000</v>
      </c>
      <c r="D141" s="1" t="d">
        <v>2006-11-17</v>
      </c>
      <c r="E141">
        <v>2006</v>
      </c>
      <c r="F141">
        <v>11</v>
      </c>
      <c r="G141">
        <v>17</v>
      </c>
      <c r="H141" t="s">
        <v>13</v>
      </c>
      <c r="I141">
        <v>16.317699999999999</v>
      </c>
      <c r="J141">
        <v>2140</v>
      </c>
    </row>
    <row r="142" spans="1:10" x14ac:dyDescent="0.2">
      <c r="A142">
        <v>4767053</v>
      </c>
      <c r="B142" t="s">
        <v>9</v>
      </c>
      <c r="C142">
        <v>275000</v>
      </c>
      <c r="D142" s="1" t="d">
        <v>2008-02-01</v>
      </c>
      <c r="E142">
        <v>2008</v>
      </c>
      <c r="F142">
        <v>2</v>
      </c>
      <c r="G142">
        <v>1</v>
      </c>
      <c r="H142" t="s">
        <v>13</v>
      </c>
      <c r="I142">
        <v>16.317699999999999</v>
      </c>
      <c r="J142">
        <v>2140</v>
      </c>
    </row>
    <row r="143" spans="1:10" x14ac:dyDescent="0.2">
      <c r="A143">
        <v>7619976</v>
      </c>
      <c r="B143" t="s">
        <v>9</v>
      </c>
      <c r="C143">
        <v>275000</v>
      </c>
      <c r="D143" s="1" t="d">
        <v>2013-04-05</v>
      </c>
      <c r="E143">
        <v>2013</v>
      </c>
      <c r="F143">
        <v>4</v>
      </c>
      <c r="G143">
        <v>5</v>
      </c>
      <c r="H143" t="s">
        <v>13</v>
      </c>
      <c r="I143">
        <v>16.317699999999999</v>
      </c>
    </row>
    <row r="144" spans="1:10" x14ac:dyDescent="0.2">
      <c r="A144">
        <v>7620016</v>
      </c>
      <c r="B144" t="s">
        <v>9</v>
      </c>
      <c r="C144">
        <v>275000</v>
      </c>
      <c r="D144" s="1" t="d">
        <v>2015-08-27</v>
      </c>
      <c r="E144">
        <v>2015</v>
      </c>
      <c r="F144">
        <v>8</v>
      </c>
      <c r="G144">
        <v>27</v>
      </c>
      <c r="H144" t="s">
        <v>12</v>
      </c>
      <c r="I144">
        <v>16.317699999999999</v>
      </c>
    </row>
    <row r="145" spans="1:10" x14ac:dyDescent="0.2">
      <c r="A145">
        <v>4766933</v>
      </c>
      <c r="B145" t="s">
        <v>9</v>
      </c>
      <c r="C145">
        <v>280000</v>
      </c>
      <c r="D145" s="1" t="d">
        <v>2002-12-20</v>
      </c>
      <c r="E145">
        <v>2002</v>
      </c>
      <c r="F145">
        <v>12</v>
      </c>
      <c r="G145">
        <v>20</v>
      </c>
      <c r="H145" t="s">
        <v>13</v>
      </c>
      <c r="I145">
        <v>16.317699999999999</v>
      </c>
      <c r="J145">
        <v>2140</v>
      </c>
    </row>
    <row r="146" spans="1:10" x14ac:dyDescent="0.2">
      <c r="A146">
        <v>4766997</v>
      </c>
      <c r="B146" t="s">
        <v>9</v>
      </c>
      <c r="C146">
        <v>280000</v>
      </c>
      <c r="D146" s="1" t="d">
        <v>2005-03-15</v>
      </c>
      <c r="E146">
        <v>2005</v>
      </c>
      <c r="F146">
        <v>3</v>
      </c>
      <c r="G146">
        <v>15</v>
      </c>
      <c r="H146" t="s">
        <v>13</v>
      </c>
      <c r="I146">
        <v>16.317699999999999</v>
      </c>
      <c r="J146">
        <v>2140</v>
      </c>
    </row>
    <row r="147" spans="1:10" x14ac:dyDescent="0.2">
      <c r="A147">
        <v>4767002</v>
      </c>
      <c r="B147" t="s">
        <v>9</v>
      </c>
      <c r="C147">
        <v>280000</v>
      </c>
      <c r="D147" s="1" t="d">
        <v>2005-11-04</v>
      </c>
      <c r="E147">
        <v>2005</v>
      </c>
      <c r="F147">
        <v>11</v>
      </c>
      <c r="G147">
        <v>4</v>
      </c>
      <c r="H147" t="s">
        <v>11</v>
      </c>
      <c r="I147">
        <v>16.317699999999999</v>
      </c>
      <c r="J147">
        <v>2140</v>
      </c>
    </row>
    <row r="148" spans="1:10" x14ac:dyDescent="0.2">
      <c r="A148">
        <v>7620033</v>
      </c>
      <c r="B148" t="s">
        <v>9</v>
      </c>
      <c r="C148">
        <v>280000</v>
      </c>
      <c r="D148" s="1" t="d">
        <v>2016-07-04</v>
      </c>
      <c r="E148">
        <v>2016</v>
      </c>
      <c r="F148">
        <v>7</v>
      </c>
      <c r="G148">
        <v>4</v>
      </c>
      <c r="H148" t="s">
        <v>13</v>
      </c>
      <c r="I148">
        <v>16.317699999999999</v>
      </c>
    </row>
    <row r="149" spans="1:10" x14ac:dyDescent="0.2">
      <c r="A149">
        <v>4767020</v>
      </c>
      <c r="B149" t="s">
        <v>9</v>
      </c>
      <c r="C149">
        <v>285000</v>
      </c>
      <c r="D149" s="1" t="d">
        <v>2006-08-22</v>
      </c>
      <c r="E149">
        <v>2006</v>
      </c>
      <c r="F149">
        <v>8</v>
      </c>
      <c r="G149">
        <v>22</v>
      </c>
      <c r="H149" t="s">
        <v>13</v>
      </c>
      <c r="I149">
        <v>16.317699999999999</v>
      </c>
      <c r="J149">
        <v>2140</v>
      </c>
    </row>
    <row r="150" spans="1:10" x14ac:dyDescent="0.2">
      <c r="A150">
        <v>4766981</v>
      </c>
      <c r="B150" t="s">
        <v>9</v>
      </c>
      <c r="C150">
        <v>287500</v>
      </c>
      <c r="D150" s="1" t="d">
        <v>2004-09-08</v>
      </c>
      <c r="E150">
        <v>2004</v>
      </c>
      <c r="F150">
        <v>9</v>
      </c>
      <c r="G150">
        <v>8</v>
      </c>
      <c r="H150" t="s">
        <v>11</v>
      </c>
      <c r="I150">
        <v>16.317699999999999</v>
      </c>
      <c r="J150">
        <v>2140</v>
      </c>
    </row>
    <row r="151" spans="1:10" x14ac:dyDescent="0.2">
      <c r="A151">
        <v>4767016</v>
      </c>
      <c r="B151" t="s">
        <v>9</v>
      </c>
      <c r="C151">
        <v>287500</v>
      </c>
      <c r="D151" s="1" t="d">
        <v>2006-08-10</v>
      </c>
      <c r="E151">
        <v>2006</v>
      </c>
      <c r="F151">
        <v>8</v>
      </c>
      <c r="G151">
        <v>10</v>
      </c>
      <c r="H151" t="s">
        <v>10</v>
      </c>
      <c r="I151">
        <v>16.317699999999999</v>
      </c>
      <c r="J151">
        <v>2140</v>
      </c>
    </row>
    <row r="152" spans="1:10" x14ac:dyDescent="0.2">
      <c r="A152">
        <v>7620002</v>
      </c>
      <c r="B152" t="s">
        <v>9</v>
      </c>
      <c r="C152">
        <v>290000</v>
      </c>
      <c r="D152" s="1" t="d">
        <v>2015-01-06</v>
      </c>
      <c r="E152">
        <v>2015</v>
      </c>
      <c r="F152">
        <v>1</v>
      </c>
      <c r="G152">
        <v>6</v>
      </c>
      <c r="H152" t="s">
        <v>10</v>
      </c>
      <c r="I152">
        <v>16.317699999999999</v>
      </c>
    </row>
    <row r="153" spans="1:10" x14ac:dyDescent="0.2">
      <c r="A153">
        <v>7620058</v>
      </c>
      <c r="B153" t="s">
        <v>9</v>
      </c>
      <c r="C153">
        <v>290000</v>
      </c>
      <c r="D153" s="1" t="d">
        <v>2017-03-31</v>
      </c>
      <c r="E153">
        <v>2017</v>
      </c>
      <c r="F153">
        <v>3</v>
      </c>
      <c r="G153">
        <v>31</v>
      </c>
      <c r="H153" t="s">
        <v>10</v>
      </c>
      <c r="I153">
        <v>16.317699999999999</v>
      </c>
    </row>
    <row r="154" spans="1:10" x14ac:dyDescent="0.2">
      <c r="A154">
        <v>4767006</v>
      </c>
      <c r="B154" t="s">
        <v>9</v>
      </c>
      <c r="C154">
        <v>295000</v>
      </c>
      <c r="D154" s="1" t="d">
        <v>2006-03-06</v>
      </c>
      <c r="E154">
        <v>2006</v>
      </c>
      <c r="F154">
        <v>3</v>
      </c>
      <c r="G154">
        <v>6</v>
      </c>
      <c r="H154" t="s">
        <v>12</v>
      </c>
      <c r="I154">
        <v>16.317699999999999</v>
      </c>
      <c r="J154">
        <v>2140</v>
      </c>
    </row>
    <row r="155" spans="1:10" x14ac:dyDescent="0.2">
      <c r="A155">
        <v>4767038</v>
      </c>
      <c r="B155" t="s">
        <v>9</v>
      </c>
      <c r="C155">
        <v>295000</v>
      </c>
      <c r="D155" s="1" t="d">
        <v>2007-03-09</v>
      </c>
      <c r="E155">
        <v>2007</v>
      </c>
      <c r="F155">
        <v>3</v>
      </c>
      <c r="G155">
        <v>9</v>
      </c>
      <c r="H155" t="s">
        <v>13</v>
      </c>
      <c r="I155">
        <v>16.317699999999999</v>
      </c>
      <c r="J155">
        <v>2140</v>
      </c>
    </row>
    <row r="156" spans="1:10" x14ac:dyDescent="0.2">
      <c r="A156">
        <v>4767056</v>
      </c>
      <c r="B156" t="s">
        <v>9</v>
      </c>
      <c r="C156">
        <v>295000</v>
      </c>
      <c r="D156" s="1" t="d">
        <v>2008-04-04</v>
      </c>
      <c r="E156">
        <v>2008</v>
      </c>
      <c r="F156">
        <v>4</v>
      </c>
      <c r="G156">
        <v>4</v>
      </c>
      <c r="H156" t="s">
        <v>13</v>
      </c>
      <c r="I156">
        <v>16.317699999999999</v>
      </c>
      <c r="J156">
        <v>2140</v>
      </c>
    </row>
    <row r="157" spans="1:10" x14ac:dyDescent="0.2">
      <c r="A157">
        <v>7620036</v>
      </c>
      <c r="B157" t="s">
        <v>9</v>
      </c>
      <c r="C157">
        <v>295000</v>
      </c>
      <c r="D157" s="1" t="d">
        <v>2016-03-23</v>
      </c>
      <c r="E157">
        <v>2016</v>
      </c>
      <c r="F157">
        <v>3</v>
      </c>
      <c r="G157">
        <v>23</v>
      </c>
      <c r="H157" t="s">
        <v>11</v>
      </c>
      <c r="I157">
        <v>16.317699999999999</v>
      </c>
    </row>
    <row r="158" spans="1:10" x14ac:dyDescent="0.2">
      <c r="A158">
        <v>4766993</v>
      </c>
      <c r="B158" t="s">
        <v>9</v>
      </c>
      <c r="C158">
        <v>299500</v>
      </c>
      <c r="D158" s="1" t="d">
        <v>2005-11-01</v>
      </c>
      <c r="E158">
        <v>2005</v>
      </c>
      <c r="F158">
        <v>11</v>
      </c>
      <c r="G158">
        <v>1</v>
      </c>
      <c r="H158" t="s">
        <v>13</v>
      </c>
      <c r="I158">
        <v>16.317699999999999</v>
      </c>
      <c r="J158">
        <v>2140</v>
      </c>
    </row>
    <row r="159" spans="1:10" x14ac:dyDescent="0.2">
      <c r="A159">
        <v>4766930</v>
      </c>
      <c r="B159" t="s">
        <v>9</v>
      </c>
      <c r="C159">
        <v>300000</v>
      </c>
      <c r="D159" s="1" t="d">
        <v>2002-06-05</v>
      </c>
      <c r="E159">
        <v>2002</v>
      </c>
      <c r="F159">
        <v>6</v>
      </c>
      <c r="G159">
        <v>5</v>
      </c>
      <c r="H159" t="s">
        <v>11</v>
      </c>
      <c r="I159">
        <v>16.317699999999999</v>
      </c>
      <c r="J159">
        <v>2140</v>
      </c>
    </row>
    <row r="160" spans="1:10" x14ac:dyDescent="0.2">
      <c r="A160">
        <v>4766946</v>
      </c>
      <c r="B160" t="s">
        <v>9</v>
      </c>
      <c r="C160">
        <v>300000</v>
      </c>
      <c r="D160" s="1" t="d">
        <v>2003-11-25</v>
      </c>
      <c r="E160">
        <v>2003</v>
      </c>
      <c r="F160">
        <v>11</v>
      </c>
      <c r="G160">
        <v>25</v>
      </c>
      <c r="H160" t="s">
        <v>11</v>
      </c>
      <c r="I160">
        <v>16.317699999999999</v>
      </c>
      <c r="J160">
        <v>2140</v>
      </c>
    </row>
    <row r="161" spans="1:10" x14ac:dyDescent="0.2">
      <c r="A161">
        <v>4767077</v>
      </c>
      <c r="B161" t="s">
        <v>9</v>
      </c>
      <c r="C161">
        <v>300000</v>
      </c>
      <c r="D161" s="1" t="d">
        <v>2010-07-23</v>
      </c>
      <c r="E161">
        <v>2010</v>
      </c>
      <c r="F161">
        <v>7</v>
      </c>
      <c r="G161">
        <v>23</v>
      </c>
      <c r="H161" t="s">
        <v>11</v>
      </c>
      <c r="I161">
        <v>16.317699999999999</v>
      </c>
      <c r="J161">
        <v>2140</v>
      </c>
    </row>
    <row r="162" spans="1:10" x14ac:dyDescent="0.2">
      <c r="A162">
        <v>4766945</v>
      </c>
      <c r="B162" t="s">
        <v>9</v>
      </c>
      <c r="C162">
        <v>301250</v>
      </c>
      <c r="D162" s="1" t="d">
        <v>2003-12-19</v>
      </c>
      <c r="E162">
        <v>2003</v>
      </c>
      <c r="F162">
        <v>12</v>
      </c>
      <c r="G162">
        <v>19</v>
      </c>
      <c r="H162" t="s">
        <v>11</v>
      </c>
      <c r="I162">
        <v>16.317699999999999</v>
      </c>
      <c r="J162">
        <v>2140</v>
      </c>
    </row>
    <row r="163" spans="1:10" x14ac:dyDescent="0.2">
      <c r="A163">
        <v>4767082</v>
      </c>
      <c r="B163" t="s">
        <v>9</v>
      </c>
      <c r="C163">
        <v>305000</v>
      </c>
      <c r="D163" s="1" t="d">
        <v>2010-08-13</v>
      </c>
      <c r="E163">
        <v>2010</v>
      </c>
      <c r="F163">
        <v>8</v>
      </c>
      <c r="G163">
        <v>13</v>
      </c>
      <c r="H163" t="s">
        <v>13</v>
      </c>
      <c r="I163">
        <v>16.317699999999999</v>
      </c>
      <c r="J163">
        <v>2140</v>
      </c>
    </row>
    <row r="164" spans="1:10" x14ac:dyDescent="0.2">
      <c r="A164">
        <v>7620038</v>
      </c>
      <c r="B164" t="s">
        <v>9</v>
      </c>
      <c r="C164">
        <v>305000</v>
      </c>
      <c r="D164" s="1" t="d">
        <v>2016-03-14</v>
      </c>
      <c r="E164">
        <v>2016</v>
      </c>
      <c r="F164">
        <v>3</v>
      </c>
      <c r="G164">
        <v>14</v>
      </c>
      <c r="H164" t="s">
        <v>13</v>
      </c>
      <c r="I164">
        <v>16.317699999999999</v>
      </c>
    </row>
    <row r="165" spans="1:10" x14ac:dyDescent="0.2">
      <c r="A165">
        <v>7619979</v>
      </c>
      <c r="B165" t="s">
        <v>9</v>
      </c>
      <c r="C165">
        <v>310000</v>
      </c>
      <c r="D165" s="1" t="d">
        <v>2013-11-29</v>
      </c>
      <c r="E165">
        <v>2013</v>
      </c>
      <c r="F165">
        <v>11</v>
      </c>
      <c r="G165">
        <v>29</v>
      </c>
      <c r="H165" t="s">
        <v>10</v>
      </c>
      <c r="I165">
        <v>16.317699999999999</v>
      </c>
    </row>
    <row r="166" spans="1:10" x14ac:dyDescent="0.2">
      <c r="A166">
        <v>7620015</v>
      </c>
      <c r="B166" t="s">
        <v>9</v>
      </c>
      <c r="C166">
        <v>310000</v>
      </c>
      <c r="D166" s="1" t="d">
        <v>2015-09-01</v>
      </c>
      <c r="E166">
        <v>2015</v>
      </c>
      <c r="F166">
        <v>9</v>
      </c>
      <c r="G166">
        <v>1</v>
      </c>
      <c r="H166" t="s">
        <v>12</v>
      </c>
      <c r="I166">
        <v>16.317699999999999</v>
      </c>
    </row>
    <row r="167" spans="1:10" x14ac:dyDescent="0.2">
      <c r="A167">
        <v>7620030</v>
      </c>
      <c r="B167" t="s">
        <v>9</v>
      </c>
      <c r="C167">
        <v>310000</v>
      </c>
      <c r="D167" s="1" t="d">
        <v>2016-09-13</v>
      </c>
      <c r="E167">
        <v>2016</v>
      </c>
      <c r="F167">
        <v>9</v>
      </c>
      <c r="G167">
        <v>13</v>
      </c>
      <c r="H167" t="s">
        <v>11</v>
      </c>
      <c r="I167">
        <v>16.317699999999999</v>
      </c>
    </row>
    <row r="168" spans="1:10" x14ac:dyDescent="0.2">
      <c r="A168">
        <v>4767066</v>
      </c>
      <c r="B168" t="s">
        <v>9</v>
      </c>
      <c r="C168">
        <v>313000</v>
      </c>
      <c r="D168" s="1" t="d">
        <v>2009-03-30</v>
      </c>
      <c r="E168">
        <v>2009</v>
      </c>
      <c r="F168">
        <v>3</v>
      </c>
      <c r="G168">
        <v>30</v>
      </c>
      <c r="H168" t="s">
        <v>11</v>
      </c>
      <c r="I168">
        <v>16.317699999999999</v>
      </c>
      <c r="J168">
        <v>2140</v>
      </c>
    </row>
    <row r="169" spans="1:10" x14ac:dyDescent="0.2">
      <c r="A169">
        <v>7619954</v>
      </c>
      <c r="B169" t="s">
        <v>9</v>
      </c>
      <c r="C169">
        <v>315000</v>
      </c>
      <c r="D169" s="1" t="d">
        <v>2011-10-03</v>
      </c>
      <c r="E169">
        <v>2011</v>
      </c>
      <c r="F169">
        <v>10</v>
      </c>
      <c r="G169">
        <v>3</v>
      </c>
      <c r="H169" t="s">
        <v>12</v>
      </c>
      <c r="I169">
        <v>16.317699999999999</v>
      </c>
    </row>
    <row r="170" spans="1:10" x14ac:dyDescent="0.2">
      <c r="A170">
        <v>7620020</v>
      </c>
      <c r="B170" t="s">
        <v>9</v>
      </c>
      <c r="C170">
        <v>315000</v>
      </c>
      <c r="D170" s="1" t="d">
        <v>2015-10-23</v>
      </c>
      <c r="E170">
        <v>2015</v>
      </c>
      <c r="F170">
        <v>10</v>
      </c>
      <c r="G170">
        <v>23</v>
      </c>
      <c r="H170" t="s">
        <v>11</v>
      </c>
      <c r="I170">
        <v>16.317699999999999</v>
      </c>
    </row>
    <row r="171" spans="1:10" x14ac:dyDescent="0.2">
      <c r="A171">
        <v>4766986</v>
      </c>
      <c r="B171" t="s">
        <v>9</v>
      </c>
      <c r="C171">
        <v>320000</v>
      </c>
      <c r="D171" s="1" t="d">
        <v>2004-02-10</v>
      </c>
      <c r="E171">
        <v>2004</v>
      </c>
      <c r="F171">
        <v>2</v>
      </c>
      <c r="G171">
        <v>10</v>
      </c>
      <c r="H171" t="s">
        <v>12</v>
      </c>
      <c r="I171">
        <v>16.317699999999999</v>
      </c>
      <c r="J171">
        <v>2140</v>
      </c>
    </row>
    <row r="172" spans="1:10" x14ac:dyDescent="0.2">
      <c r="A172">
        <v>4766963</v>
      </c>
      <c r="B172" t="s">
        <v>9</v>
      </c>
      <c r="C172">
        <v>325000</v>
      </c>
      <c r="D172" s="1" t="d">
        <v>2004-01-23</v>
      </c>
      <c r="E172">
        <v>2004</v>
      </c>
      <c r="F172">
        <v>1</v>
      </c>
      <c r="G172">
        <v>23</v>
      </c>
      <c r="H172" t="s">
        <v>13</v>
      </c>
      <c r="I172">
        <v>16.317699999999999</v>
      </c>
      <c r="J172">
        <v>2140</v>
      </c>
    </row>
    <row r="173" spans="1:10" x14ac:dyDescent="0.2">
      <c r="A173">
        <v>4767062</v>
      </c>
      <c r="B173" t="s">
        <v>9</v>
      </c>
      <c r="C173">
        <v>325000</v>
      </c>
      <c r="D173" s="1" t="d">
        <v>2009-04-24</v>
      </c>
      <c r="E173">
        <v>2009</v>
      </c>
      <c r="F173">
        <v>4</v>
      </c>
      <c r="G173">
        <v>24</v>
      </c>
      <c r="H173" t="s">
        <v>13</v>
      </c>
      <c r="I173">
        <v>16.317699999999999</v>
      </c>
      <c r="J173">
        <v>2140</v>
      </c>
    </row>
    <row r="174" spans="1:10" x14ac:dyDescent="0.2">
      <c r="A174">
        <v>7619968</v>
      </c>
      <c r="B174" t="s">
        <v>9</v>
      </c>
      <c r="C174">
        <v>325000</v>
      </c>
      <c r="D174" s="1" t="d">
        <v>2012-08-06</v>
      </c>
      <c r="E174">
        <v>2012</v>
      </c>
      <c r="F174">
        <v>8</v>
      </c>
      <c r="G174">
        <v>6</v>
      </c>
      <c r="H174" t="s">
        <v>13</v>
      </c>
      <c r="I174">
        <v>16.317699999999999</v>
      </c>
    </row>
    <row r="175" spans="1:10" x14ac:dyDescent="0.2">
      <c r="A175">
        <v>7619983</v>
      </c>
      <c r="B175" t="s">
        <v>9</v>
      </c>
      <c r="C175">
        <v>325000</v>
      </c>
      <c r="D175" s="1" t="d">
        <v>2014-11-14</v>
      </c>
      <c r="E175">
        <v>2014</v>
      </c>
      <c r="F175">
        <v>11</v>
      </c>
      <c r="G175">
        <v>14</v>
      </c>
      <c r="H175" t="s">
        <v>11</v>
      </c>
      <c r="I175">
        <v>16.317699999999999</v>
      </c>
    </row>
    <row r="176" spans="1:10" x14ac:dyDescent="0.2">
      <c r="A176">
        <v>7620066</v>
      </c>
      <c r="B176" t="s">
        <v>9</v>
      </c>
      <c r="C176">
        <v>325000</v>
      </c>
      <c r="D176" s="1" t="d">
        <v>2017-03-31</v>
      </c>
      <c r="E176">
        <v>2017</v>
      </c>
      <c r="F176">
        <v>3</v>
      </c>
      <c r="G176">
        <v>31</v>
      </c>
      <c r="H176" t="s">
        <v>11</v>
      </c>
      <c r="I176">
        <v>16.317699999999999</v>
      </c>
    </row>
    <row r="177" spans="1:10" x14ac:dyDescent="0.2">
      <c r="A177">
        <v>4766902</v>
      </c>
      <c r="B177" t="s">
        <v>9</v>
      </c>
      <c r="C177">
        <v>330000</v>
      </c>
      <c r="D177" s="1" t="d">
        <v>2001-11-01</v>
      </c>
      <c r="E177">
        <v>2001</v>
      </c>
      <c r="F177">
        <v>11</v>
      </c>
      <c r="G177">
        <v>1</v>
      </c>
      <c r="H177" t="s">
        <v>11</v>
      </c>
      <c r="I177">
        <v>16.317699999999999</v>
      </c>
      <c r="J177">
        <v>2140</v>
      </c>
    </row>
    <row r="178" spans="1:10" x14ac:dyDescent="0.2">
      <c r="A178">
        <v>4766970</v>
      </c>
      <c r="B178" t="s">
        <v>9</v>
      </c>
      <c r="C178">
        <v>330000</v>
      </c>
      <c r="D178" s="1" t="d">
        <v>2004-06-18</v>
      </c>
      <c r="E178">
        <v>2004</v>
      </c>
      <c r="F178">
        <v>6</v>
      </c>
      <c r="G178">
        <v>18</v>
      </c>
      <c r="H178" t="s">
        <v>13</v>
      </c>
      <c r="I178">
        <v>16.317699999999999</v>
      </c>
      <c r="J178">
        <v>2140</v>
      </c>
    </row>
    <row r="179" spans="1:10" x14ac:dyDescent="0.2">
      <c r="A179">
        <v>7619960</v>
      </c>
      <c r="B179" t="s">
        <v>9</v>
      </c>
      <c r="C179">
        <v>330000</v>
      </c>
      <c r="D179" s="1" t="d">
        <v>2012-07-18</v>
      </c>
      <c r="E179">
        <v>2012</v>
      </c>
      <c r="F179">
        <v>7</v>
      </c>
      <c r="G179">
        <v>18</v>
      </c>
      <c r="H179" t="s">
        <v>12</v>
      </c>
      <c r="I179">
        <v>16.317699999999999</v>
      </c>
    </row>
    <row r="180" spans="1:10" x14ac:dyDescent="0.2">
      <c r="A180">
        <v>4766951</v>
      </c>
      <c r="B180" t="s">
        <v>9</v>
      </c>
      <c r="C180">
        <v>335000</v>
      </c>
      <c r="D180" s="1" t="d">
        <v>2003-08-07</v>
      </c>
      <c r="E180">
        <v>2003</v>
      </c>
      <c r="F180">
        <v>8</v>
      </c>
      <c r="G180">
        <v>7</v>
      </c>
      <c r="H180" t="s">
        <v>10</v>
      </c>
      <c r="I180">
        <v>16.317699999999999</v>
      </c>
      <c r="J180">
        <v>2140</v>
      </c>
    </row>
    <row r="181" spans="1:10" x14ac:dyDescent="0.2">
      <c r="A181">
        <v>4766967</v>
      </c>
      <c r="B181" t="s">
        <v>9</v>
      </c>
      <c r="C181">
        <v>335000</v>
      </c>
      <c r="D181" s="1" t="d">
        <v>2004-02-10</v>
      </c>
      <c r="E181">
        <v>2004</v>
      </c>
      <c r="F181">
        <v>2</v>
      </c>
      <c r="G181">
        <v>10</v>
      </c>
      <c r="H181" t="s">
        <v>13</v>
      </c>
      <c r="I181">
        <v>16.317699999999999</v>
      </c>
      <c r="J181">
        <v>2140</v>
      </c>
    </row>
    <row r="182" spans="1:10" x14ac:dyDescent="0.2">
      <c r="A182">
        <v>4767018</v>
      </c>
      <c r="B182" t="s">
        <v>9</v>
      </c>
      <c r="C182">
        <v>335000</v>
      </c>
      <c r="D182" s="1" t="d">
        <v>2006-12-15</v>
      </c>
      <c r="E182">
        <v>2006</v>
      </c>
      <c r="F182">
        <v>12</v>
      </c>
      <c r="G182">
        <v>15</v>
      </c>
      <c r="H182" t="s">
        <v>13</v>
      </c>
      <c r="I182">
        <v>16.317699999999999</v>
      </c>
      <c r="J182">
        <v>2140</v>
      </c>
    </row>
    <row r="183" spans="1:10" x14ac:dyDescent="0.2">
      <c r="A183">
        <v>4767063</v>
      </c>
      <c r="B183" t="s">
        <v>9</v>
      </c>
      <c r="C183">
        <v>335000</v>
      </c>
      <c r="D183" s="1" t="d">
        <v>2009-03-05</v>
      </c>
      <c r="E183">
        <v>2009</v>
      </c>
      <c r="F183">
        <v>3</v>
      </c>
      <c r="G183">
        <v>5</v>
      </c>
      <c r="H183" t="s">
        <v>11</v>
      </c>
      <c r="I183">
        <v>16.317699999999999</v>
      </c>
      <c r="J183">
        <v>2140</v>
      </c>
    </row>
    <row r="184" spans="1:10" x14ac:dyDescent="0.2">
      <c r="A184">
        <v>7619947</v>
      </c>
      <c r="B184" t="s">
        <v>9</v>
      </c>
      <c r="C184">
        <v>335000</v>
      </c>
      <c r="D184" s="1" t="d">
        <v>2011-04-01</v>
      </c>
      <c r="E184">
        <v>2011</v>
      </c>
      <c r="F184">
        <v>4</v>
      </c>
      <c r="G184">
        <v>1</v>
      </c>
      <c r="H184" t="s">
        <v>10</v>
      </c>
      <c r="I184">
        <v>16.317699999999999</v>
      </c>
    </row>
    <row r="185" spans="1:10" x14ac:dyDescent="0.2">
      <c r="A185">
        <v>7619957</v>
      </c>
      <c r="B185" t="s">
        <v>9</v>
      </c>
      <c r="C185">
        <v>335000</v>
      </c>
      <c r="D185" s="1" t="d">
        <v>2012-10-24</v>
      </c>
      <c r="E185">
        <v>2012</v>
      </c>
      <c r="F185">
        <v>10</v>
      </c>
      <c r="G185">
        <v>24</v>
      </c>
      <c r="H185" t="s">
        <v>12</v>
      </c>
      <c r="I185">
        <v>16.317699999999999</v>
      </c>
    </row>
    <row r="186" spans="1:10" x14ac:dyDescent="0.2">
      <c r="A186">
        <v>4766969</v>
      </c>
      <c r="B186" t="s">
        <v>9</v>
      </c>
      <c r="C186">
        <v>340000</v>
      </c>
      <c r="D186" s="1" t="d">
        <v>2004-11-30</v>
      </c>
      <c r="E186">
        <v>2004</v>
      </c>
      <c r="F186">
        <v>11</v>
      </c>
      <c r="G186">
        <v>30</v>
      </c>
      <c r="H186" t="s">
        <v>11</v>
      </c>
      <c r="I186">
        <v>16.317699999999999</v>
      </c>
      <c r="J186">
        <v>2140</v>
      </c>
    </row>
    <row r="187" spans="1:10" x14ac:dyDescent="0.2">
      <c r="A187">
        <v>4767000</v>
      </c>
      <c r="B187" t="s">
        <v>9</v>
      </c>
      <c r="C187">
        <v>340000</v>
      </c>
      <c r="D187" s="1" t="d">
        <v>2005-11-04</v>
      </c>
      <c r="E187">
        <v>2005</v>
      </c>
      <c r="F187">
        <v>11</v>
      </c>
      <c r="G187">
        <v>4</v>
      </c>
      <c r="H187" t="s">
        <v>11</v>
      </c>
      <c r="I187">
        <v>16.317699999999999</v>
      </c>
      <c r="J187">
        <v>2140</v>
      </c>
    </row>
    <row r="188" spans="1:10" x14ac:dyDescent="0.2">
      <c r="A188">
        <v>7619969</v>
      </c>
      <c r="B188" t="s">
        <v>9</v>
      </c>
      <c r="C188">
        <v>340000</v>
      </c>
      <c r="D188" s="1" t="d">
        <v>2012-08-17</v>
      </c>
      <c r="E188">
        <v>2012</v>
      </c>
      <c r="F188">
        <v>8</v>
      </c>
      <c r="G188">
        <v>17</v>
      </c>
      <c r="H188" t="s">
        <v>12</v>
      </c>
      <c r="I188">
        <v>16.317699999999999</v>
      </c>
    </row>
    <row r="189" spans="1:10" x14ac:dyDescent="0.2">
      <c r="A189">
        <v>7620012</v>
      </c>
      <c r="B189" t="s">
        <v>9</v>
      </c>
      <c r="C189">
        <v>340000</v>
      </c>
      <c r="D189" s="1" t="d">
        <v>2015-05-22</v>
      </c>
      <c r="E189">
        <v>2015</v>
      </c>
      <c r="F189">
        <v>5</v>
      </c>
      <c r="G189">
        <v>22</v>
      </c>
      <c r="H189" t="s">
        <v>13</v>
      </c>
      <c r="I189">
        <v>16.317699999999999</v>
      </c>
    </row>
    <row r="190" spans="1:10" x14ac:dyDescent="0.2">
      <c r="A190">
        <v>4766983</v>
      </c>
      <c r="B190" t="s">
        <v>9</v>
      </c>
      <c r="C190">
        <v>342000</v>
      </c>
      <c r="D190" s="1" t="d">
        <v>2004-02-19</v>
      </c>
      <c r="E190">
        <v>2004</v>
      </c>
      <c r="F190">
        <v>2</v>
      </c>
      <c r="G190">
        <v>19</v>
      </c>
      <c r="H190" t="s">
        <v>10</v>
      </c>
      <c r="I190">
        <v>16.317699999999999</v>
      </c>
      <c r="J190">
        <v>2140</v>
      </c>
    </row>
    <row r="191" spans="1:10" x14ac:dyDescent="0.2">
      <c r="A191">
        <v>7620043</v>
      </c>
      <c r="B191" t="s">
        <v>9</v>
      </c>
      <c r="C191">
        <v>342500</v>
      </c>
      <c r="D191" s="1" t="d">
        <v>2016-12-19</v>
      </c>
      <c r="E191">
        <v>2016</v>
      </c>
      <c r="F191">
        <v>12</v>
      </c>
      <c r="G191">
        <v>19</v>
      </c>
      <c r="H191" t="s">
        <v>14</v>
      </c>
      <c r="I191">
        <v>16.317699999999999</v>
      </c>
    </row>
    <row r="192" spans="1:10" x14ac:dyDescent="0.2">
      <c r="A192">
        <v>4766992</v>
      </c>
      <c r="B192" t="s">
        <v>9</v>
      </c>
      <c r="C192">
        <v>345000</v>
      </c>
      <c r="D192" s="1" t="d">
        <v>2005-09-28</v>
      </c>
      <c r="E192">
        <v>2005</v>
      </c>
      <c r="F192">
        <v>9</v>
      </c>
      <c r="G192">
        <v>28</v>
      </c>
      <c r="H192" t="s">
        <v>13</v>
      </c>
      <c r="I192">
        <v>16.317699999999999</v>
      </c>
      <c r="J192">
        <v>2140</v>
      </c>
    </row>
    <row r="193" spans="1:10" x14ac:dyDescent="0.2">
      <c r="A193">
        <v>7619944</v>
      </c>
      <c r="B193" t="s">
        <v>9</v>
      </c>
      <c r="C193">
        <v>345000</v>
      </c>
      <c r="D193" s="1" t="d">
        <v>2011-03-23</v>
      </c>
      <c r="E193">
        <v>2011</v>
      </c>
      <c r="F193">
        <v>3</v>
      </c>
      <c r="G193">
        <v>23</v>
      </c>
      <c r="H193" t="s">
        <v>11</v>
      </c>
      <c r="I193">
        <v>16.317699999999999</v>
      </c>
    </row>
    <row r="194" spans="1:10" x14ac:dyDescent="0.2">
      <c r="A194">
        <v>7620019</v>
      </c>
      <c r="B194" t="s">
        <v>9</v>
      </c>
      <c r="C194">
        <v>345000</v>
      </c>
      <c r="D194" s="1" t="d">
        <v>2015-07-07</v>
      </c>
      <c r="E194">
        <v>2015</v>
      </c>
      <c r="F194">
        <v>7</v>
      </c>
      <c r="G194">
        <v>7</v>
      </c>
      <c r="H194" t="s">
        <v>11</v>
      </c>
      <c r="I194">
        <v>16.317699999999999</v>
      </c>
    </row>
    <row r="195" spans="1:10" x14ac:dyDescent="0.2">
      <c r="A195">
        <v>7620027</v>
      </c>
      <c r="B195" t="s">
        <v>9</v>
      </c>
      <c r="C195">
        <v>345000</v>
      </c>
      <c r="D195" s="1" t="d">
        <v>2016-09-15</v>
      </c>
      <c r="E195">
        <v>2016</v>
      </c>
      <c r="F195">
        <v>9</v>
      </c>
      <c r="G195">
        <v>15</v>
      </c>
      <c r="H195" t="s">
        <v>11</v>
      </c>
      <c r="I195">
        <v>16.317699999999999</v>
      </c>
    </row>
    <row r="196" spans="1:10" x14ac:dyDescent="0.2">
      <c r="A196">
        <v>7620054</v>
      </c>
      <c r="B196" t="s">
        <v>9</v>
      </c>
      <c r="C196">
        <v>345000</v>
      </c>
      <c r="D196" s="1" t="d">
        <v>2017-06-01</v>
      </c>
      <c r="E196">
        <v>2017</v>
      </c>
      <c r="F196">
        <v>6</v>
      </c>
      <c r="G196">
        <v>1</v>
      </c>
      <c r="H196" t="s">
        <v>13</v>
      </c>
      <c r="I196">
        <v>16.317699999999999</v>
      </c>
    </row>
    <row r="197" spans="1:10" x14ac:dyDescent="0.2">
      <c r="A197">
        <v>4766916</v>
      </c>
      <c r="B197" t="s">
        <v>9</v>
      </c>
      <c r="C197">
        <v>350000</v>
      </c>
      <c r="D197" s="1" t="d">
        <v>2001-11-01</v>
      </c>
      <c r="E197">
        <v>2001</v>
      </c>
      <c r="F197">
        <v>11</v>
      </c>
      <c r="G197">
        <v>1</v>
      </c>
      <c r="H197" t="s">
        <v>12</v>
      </c>
      <c r="I197">
        <v>16.317699999999999</v>
      </c>
      <c r="J197">
        <v>2140</v>
      </c>
    </row>
    <row r="198" spans="1:10" x14ac:dyDescent="0.2">
      <c r="A198">
        <v>4767041</v>
      </c>
      <c r="B198" t="s">
        <v>9</v>
      </c>
      <c r="C198">
        <v>350000</v>
      </c>
      <c r="D198" s="1" t="d">
        <v>2007-04-20</v>
      </c>
      <c r="E198">
        <v>2007</v>
      </c>
      <c r="F198">
        <v>4</v>
      </c>
      <c r="G198">
        <v>20</v>
      </c>
      <c r="H198" t="s">
        <v>11</v>
      </c>
      <c r="I198">
        <v>16.317699999999999</v>
      </c>
      <c r="J198">
        <v>2140</v>
      </c>
    </row>
    <row r="199" spans="1:10" x14ac:dyDescent="0.2">
      <c r="A199">
        <v>4767048</v>
      </c>
      <c r="B199" t="s">
        <v>9</v>
      </c>
      <c r="C199">
        <v>350000</v>
      </c>
      <c r="D199" s="1" t="d">
        <v>2007-09-12</v>
      </c>
      <c r="E199">
        <v>2007</v>
      </c>
      <c r="F199">
        <v>9</v>
      </c>
      <c r="G199">
        <v>12</v>
      </c>
      <c r="H199" t="s">
        <v>11</v>
      </c>
      <c r="I199">
        <v>16.317699999999999</v>
      </c>
      <c r="J199">
        <v>2140</v>
      </c>
    </row>
    <row r="200" spans="1:10" x14ac:dyDescent="0.2">
      <c r="A200">
        <v>4766960</v>
      </c>
      <c r="B200" t="s">
        <v>9</v>
      </c>
      <c r="C200">
        <v>355000</v>
      </c>
      <c r="D200" s="1" t="d">
        <v>2003-09-26</v>
      </c>
      <c r="E200">
        <v>2003</v>
      </c>
      <c r="F200">
        <v>9</v>
      </c>
      <c r="G200">
        <v>26</v>
      </c>
      <c r="H200" t="s">
        <v>10</v>
      </c>
      <c r="I200">
        <v>16.317699999999999</v>
      </c>
      <c r="J200">
        <v>2140</v>
      </c>
    </row>
    <row r="201" spans="1:10" x14ac:dyDescent="0.2">
      <c r="A201">
        <v>4767036</v>
      </c>
      <c r="B201" t="s">
        <v>9</v>
      </c>
      <c r="C201">
        <v>355000</v>
      </c>
      <c r="D201" s="1" t="d">
        <v>2007-01-19</v>
      </c>
      <c r="E201">
        <v>2007</v>
      </c>
      <c r="F201">
        <v>1</v>
      </c>
      <c r="G201">
        <v>19</v>
      </c>
      <c r="H201" t="s">
        <v>12</v>
      </c>
      <c r="I201">
        <v>16.317699999999999</v>
      </c>
      <c r="J201">
        <v>2140</v>
      </c>
    </row>
    <row r="202" spans="1:10" x14ac:dyDescent="0.2">
      <c r="A202">
        <v>7619950</v>
      </c>
      <c r="B202" t="s">
        <v>9</v>
      </c>
      <c r="C202">
        <v>355000</v>
      </c>
      <c r="D202" s="1" t="d">
        <v>2011-06-23</v>
      </c>
      <c r="E202">
        <v>2011</v>
      </c>
      <c r="F202">
        <v>6</v>
      </c>
      <c r="G202">
        <v>23</v>
      </c>
      <c r="H202" t="s">
        <v>12</v>
      </c>
      <c r="I202">
        <v>16.317699999999999</v>
      </c>
    </row>
    <row r="203" spans="1:10" x14ac:dyDescent="0.2">
      <c r="A203">
        <v>7619994</v>
      </c>
      <c r="B203" t="s">
        <v>9</v>
      </c>
      <c r="C203">
        <v>355000</v>
      </c>
      <c r="D203" s="1" t="d">
        <v>2014-11-12</v>
      </c>
      <c r="E203">
        <v>2014</v>
      </c>
      <c r="F203">
        <v>11</v>
      </c>
      <c r="G203">
        <v>12</v>
      </c>
      <c r="H203" t="s">
        <v>12</v>
      </c>
      <c r="I203">
        <v>16.317699999999999</v>
      </c>
    </row>
    <row r="204" spans="1:10" x14ac:dyDescent="0.2">
      <c r="A204">
        <v>7620029</v>
      </c>
      <c r="B204" t="s">
        <v>9</v>
      </c>
      <c r="C204">
        <v>355000</v>
      </c>
      <c r="D204" s="1" t="d">
        <v>2016-09-15</v>
      </c>
      <c r="E204">
        <v>2016</v>
      </c>
      <c r="F204">
        <v>9</v>
      </c>
      <c r="G204">
        <v>15</v>
      </c>
      <c r="H204" t="s">
        <v>13</v>
      </c>
      <c r="I204">
        <v>16.317699999999999</v>
      </c>
    </row>
    <row r="205" spans="1:10" x14ac:dyDescent="0.2">
      <c r="A205">
        <v>7620045</v>
      </c>
      <c r="B205" t="s">
        <v>9</v>
      </c>
      <c r="C205">
        <v>355000</v>
      </c>
      <c r="D205" s="1" t="d">
        <v>2016-09-15</v>
      </c>
      <c r="E205">
        <v>2016</v>
      </c>
      <c r="F205">
        <v>9</v>
      </c>
      <c r="G205">
        <v>15</v>
      </c>
      <c r="H205" t="s">
        <v>13</v>
      </c>
      <c r="I205">
        <v>16.317699999999999</v>
      </c>
    </row>
    <row r="206" spans="1:10" x14ac:dyDescent="0.2">
      <c r="A206">
        <v>4766994</v>
      </c>
      <c r="B206" t="s">
        <v>9</v>
      </c>
      <c r="C206">
        <v>360000</v>
      </c>
      <c r="D206" s="1" t="d">
        <v>2005-11-01</v>
      </c>
      <c r="E206">
        <v>2005</v>
      </c>
      <c r="F206">
        <v>11</v>
      </c>
      <c r="G206">
        <v>1</v>
      </c>
      <c r="H206" t="s">
        <v>11</v>
      </c>
      <c r="I206">
        <v>16.317699999999999</v>
      </c>
      <c r="J206">
        <v>2140</v>
      </c>
    </row>
    <row r="207" spans="1:10" x14ac:dyDescent="0.2">
      <c r="A207">
        <v>4767072</v>
      </c>
      <c r="B207" t="s">
        <v>9</v>
      </c>
      <c r="C207">
        <v>360000</v>
      </c>
      <c r="D207" s="1" t="d">
        <v>2010-09-24</v>
      </c>
      <c r="E207">
        <v>2010</v>
      </c>
      <c r="F207">
        <v>9</v>
      </c>
      <c r="G207">
        <v>24</v>
      </c>
      <c r="H207" t="s">
        <v>12</v>
      </c>
      <c r="I207">
        <v>16.317699999999999</v>
      </c>
      <c r="J207">
        <v>2140</v>
      </c>
    </row>
    <row r="208" spans="1:10" x14ac:dyDescent="0.2">
      <c r="A208">
        <v>7620059</v>
      </c>
      <c r="B208" t="s">
        <v>9</v>
      </c>
      <c r="C208">
        <v>360000</v>
      </c>
      <c r="D208" s="1" t="d">
        <v>2017-03-07</v>
      </c>
      <c r="E208">
        <v>2017</v>
      </c>
      <c r="F208">
        <v>3</v>
      </c>
      <c r="G208">
        <v>7</v>
      </c>
      <c r="H208" t="s">
        <v>13</v>
      </c>
      <c r="I208">
        <v>16.317699999999999</v>
      </c>
    </row>
    <row r="209" spans="1:10" x14ac:dyDescent="0.2">
      <c r="A209">
        <v>7619973</v>
      </c>
      <c r="B209" t="s">
        <v>9</v>
      </c>
      <c r="C209">
        <v>362500</v>
      </c>
      <c r="D209" s="1" t="d">
        <v>2013-05-24</v>
      </c>
      <c r="E209">
        <v>2013</v>
      </c>
      <c r="F209">
        <v>5</v>
      </c>
      <c r="G209">
        <v>24</v>
      </c>
      <c r="H209" t="s">
        <v>10</v>
      </c>
      <c r="I209">
        <v>16.317699999999999</v>
      </c>
    </row>
    <row r="210" spans="1:10" x14ac:dyDescent="0.2">
      <c r="A210">
        <v>4766942</v>
      </c>
      <c r="B210" t="s">
        <v>9</v>
      </c>
      <c r="C210">
        <v>365000</v>
      </c>
      <c r="D210" s="1" t="d">
        <v>2003-11-03</v>
      </c>
      <c r="E210">
        <v>2003</v>
      </c>
      <c r="F210">
        <v>11</v>
      </c>
      <c r="G210">
        <v>3</v>
      </c>
      <c r="H210" t="s">
        <v>11</v>
      </c>
      <c r="I210">
        <v>16.317699999999999</v>
      </c>
      <c r="J210">
        <v>2140</v>
      </c>
    </row>
    <row r="211" spans="1:10" x14ac:dyDescent="0.2">
      <c r="A211">
        <v>4767015</v>
      </c>
      <c r="B211" t="s">
        <v>9</v>
      </c>
      <c r="C211">
        <v>365000</v>
      </c>
      <c r="D211" s="1" t="d">
        <v>2006-01-13</v>
      </c>
      <c r="E211">
        <v>2006</v>
      </c>
      <c r="F211">
        <v>1</v>
      </c>
      <c r="G211">
        <v>13</v>
      </c>
      <c r="H211" t="s">
        <v>10</v>
      </c>
      <c r="I211">
        <v>16.317699999999999</v>
      </c>
      <c r="J211">
        <v>2140</v>
      </c>
    </row>
    <row r="212" spans="1:10" x14ac:dyDescent="0.2">
      <c r="A212">
        <v>7619964</v>
      </c>
      <c r="B212" t="s">
        <v>9</v>
      </c>
      <c r="C212">
        <v>365000</v>
      </c>
      <c r="D212" s="1" t="d">
        <v>2012-02-09</v>
      </c>
      <c r="E212">
        <v>2012</v>
      </c>
      <c r="F212">
        <v>2</v>
      </c>
      <c r="G212">
        <v>9</v>
      </c>
      <c r="H212" t="s">
        <v>11</v>
      </c>
      <c r="I212">
        <v>16.317699999999999</v>
      </c>
    </row>
    <row r="213" spans="1:10" x14ac:dyDescent="0.2">
      <c r="A213">
        <v>7619981</v>
      </c>
      <c r="B213" t="s">
        <v>9</v>
      </c>
      <c r="C213">
        <v>367500</v>
      </c>
      <c r="D213" s="1" t="d">
        <v>2013-10-18</v>
      </c>
      <c r="E213">
        <v>2013</v>
      </c>
      <c r="F213">
        <v>10</v>
      </c>
      <c r="G213">
        <v>18</v>
      </c>
      <c r="H213" t="s">
        <v>14</v>
      </c>
      <c r="I213">
        <v>16.317699999999999</v>
      </c>
    </row>
    <row r="214" spans="1:10" x14ac:dyDescent="0.2">
      <c r="A214">
        <v>7620041</v>
      </c>
      <c r="B214" t="s">
        <v>9</v>
      </c>
      <c r="C214">
        <v>370000</v>
      </c>
      <c r="D214" s="1" t="d">
        <v>2016-11-23</v>
      </c>
      <c r="E214">
        <v>2016</v>
      </c>
      <c r="F214">
        <v>11</v>
      </c>
      <c r="G214">
        <v>23</v>
      </c>
      <c r="H214" t="s">
        <v>10</v>
      </c>
      <c r="I214">
        <v>16.317699999999999</v>
      </c>
    </row>
    <row r="215" spans="1:10" x14ac:dyDescent="0.2">
      <c r="A215">
        <v>7620013</v>
      </c>
      <c r="B215" t="s">
        <v>9</v>
      </c>
      <c r="C215">
        <v>373500</v>
      </c>
      <c r="D215" s="1" t="d">
        <v>2015-06-12</v>
      </c>
      <c r="E215">
        <v>2015</v>
      </c>
      <c r="F215">
        <v>6</v>
      </c>
      <c r="G215">
        <v>12</v>
      </c>
      <c r="H215" t="s">
        <v>12</v>
      </c>
      <c r="I215">
        <v>16.317699999999999</v>
      </c>
    </row>
    <row r="216" spans="1:10" x14ac:dyDescent="0.2">
      <c r="A216">
        <v>7619966</v>
      </c>
      <c r="B216" t="s">
        <v>9</v>
      </c>
      <c r="C216">
        <v>375000</v>
      </c>
      <c r="D216" s="1" t="d">
        <v>2012-10-16</v>
      </c>
      <c r="E216">
        <v>2012</v>
      </c>
      <c r="F216">
        <v>10</v>
      </c>
      <c r="G216">
        <v>16</v>
      </c>
      <c r="H216" t="s">
        <v>11</v>
      </c>
      <c r="I216">
        <v>16.317699999999999</v>
      </c>
    </row>
    <row r="217" spans="1:10" x14ac:dyDescent="0.2">
      <c r="A217">
        <v>7619963</v>
      </c>
      <c r="B217" t="s">
        <v>9</v>
      </c>
      <c r="C217">
        <v>377500</v>
      </c>
      <c r="D217" s="1" t="d">
        <v>2012-08-31</v>
      </c>
      <c r="E217">
        <v>2012</v>
      </c>
      <c r="F217">
        <v>8</v>
      </c>
      <c r="G217">
        <v>31</v>
      </c>
      <c r="H217" t="s">
        <v>11</v>
      </c>
      <c r="I217">
        <v>16.317699999999999</v>
      </c>
    </row>
    <row r="218" spans="1:10" x14ac:dyDescent="0.2">
      <c r="A218">
        <v>4767046</v>
      </c>
      <c r="B218" t="s">
        <v>9</v>
      </c>
      <c r="C218">
        <v>379000</v>
      </c>
      <c r="D218" s="1" t="d">
        <v>2007-10-26</v>
      </c>
      <c r="E218">
        <v>2007</v>
      </c>
      <c r="F218">
        <v>10</v>
      </c>
      <c r="G218">
        <v>26</v>
      </c>
      <c r="H218" t="s">
        <v>13</v>
      </c>
      <c r="I218">
        <v>16.317699999999999</v>
      </c>
      <c r="J218">
        <v>2140</v>
      </c>
    </row>
    <row r="219" spans="1:10" x14ac:dyDescent="0.2">
      <c r="A219">
        <v>7620023</v>
      </c>
      <c r="B219" t="s">
        <v>9</v>
      </c>
      <c r="C219">
        <v>380000</v>
      </c>
      <c r="D219" s="1" t="d">
        <v>2016-03-24</v>
      </c>
      <c r="E219">
        <v>2016</v>
      </c>
      <c r="F219">
        <v>3</v>
      </c>
      <c r="G219">
        <v>24</v>
      </c>
      <c r="H219" t="s">
        <v>11</v>
      </c>
      <c r="I219">
        <v>16.317699999999999</v>
      </c>
    </row>
    <row r="220" spans="1:10" x14ac:dyDescent="0.2">
      <c r="A220">
        <v>7620046</v>
      </c>
      <c r="B220" t="s">
        <v>9</v>
      </c>
      <c r="C220">
        <v>380000</v>
      </c>
      <c r="D220" s="1" t="d">
        <v>2016-01-22</v>
      </c>
      <c r="E220">
        <v>2016</v>
      </c>
      <c r="F220">
        <v>1</v>
      </c>
      <c r="G220">
        <v>22</v>
      </c>
      <c r="H220" t="s">
        <v>12</v>
      </c>
      <c r="I220">
        <v>16.317699999999999</v>
      </c>
    </row>
    <row r="221" spans="1:10" x14ac:dyDescent="0.2">
      <c r="A221">
        <v>7619997</v>
      </c>
      <c r="B221" t="s">
        <v>9</v>
      </c>
      <c r="C221">
        <v>381000</v>
      </c>
      <c r="D221" s="1" t="d">
        <v>2014-10-03</v>
      </c>
      <c r="E221">
        <v>2014</v>
      </c>
      <c r="F221">
        <v>10</v>
      </c>
      <c r="G221">
        <v>3</v>
      </c>
      <c r="H221" t="s">
        <v>10</v>
      </c>
      <c r="I221">
        <v>16.317699999999999</v>
      </c>
    </row>
    <row r="222" spans="1:10" x14ac:dyDescent="0.2">
      <c r="A222">
        <v>4766948</v>
      </c>
      <c r="B222" t="s">
        <v>9</v>
      </c>
      <c r="C222">
        <v>385000</v>
      </c>
      <c r="D222" s="1" t="d">
        <v>2003-08-07</v>
      </c>
      <c r="E222">
        <v>2003</v>
      </c>
      <c r="F222">
        <v>8</v>
      </c>
      <c r="G222">
        <v>7</v>
      </c>
      <c r="H222" t="s">
        <v>12</v>
      </c>
      <c r="I222">
        <v>16.317699999999999</v>
      </c>
      <c r="J222">
        <v>2140</v>
      </c>
    </row>
    <row r="223" spans="1:10" x14ac:dyDescent="0.2">
      <c r="A223">
        <v>7619952</v>
      </c>
      <c r="B223" t="s">
        <v>9</v>
      </c>
      <c r="C223">
        <v>385000</v>
      </c>
      <c r="D223" s="1" t="d">
        <v>2011-10-31</v>
      </c>
      <c r="E223">
        <v>2011</v>
      </c>
      <c r="F223">
        <v>10</v>
      </c>
      <c r="G223">
        <v>31</v>
      </c>
      <c r="H223" t="s">
        <v>11</v>
      </c>
      <c r="I223">
        <v>16.317699999999999</v>
      </c>
    </row>
    <row r="224" spans="1:10" x14ac:dyDescent="0.2">
      <c r="A224">
        <v>7619958</v>
      </c>
      <c r="B224" t="s">
        <v>9</v>
      </c>
      <c r="C224">
        <v>385000</v>
      </c>
      <c r="D224" s="1" t="d">
        <v>2012-11-21</v>
      </c>
      <c r="E224">
        <v>2012</v>
      </c>
      <c r="F224">
        <v>11</v>
      </c>
      <c r="G224">
        <v>21</v>
      </c>
      <c r="H224" t="s">
        <v>12</v>
      </c>
      <c r="I224">
        <v>16.317699999999999</v>
      </c>
    </row>
    <row r="225" spans="1:10" x14ac:dyDescent="0.2">
      <c r="A225">
        <v>4767017</v>
      </c>
      <c r="B225" t="s">
        <v>9</v>
      </c>
      <c r="C225">
        <v>390000</v>
      </c>
      <c r="D225" s="1" t="d">
        <v>2006-03-30</v>
      </c>
      <c r="E225">
        <v>2006</v>
      </c>
      <c r="F225">
        <v>3</v>
      </c>
      <c r="G225">
        <v>30</v>
      </c>
      <c r="H225" t="s">
        <v>10</v>
      </c>
      <c r="I225">
        <v>16.317699999999999</v>
      </c>
      <c r="J225">
        <v>2140</v>
      </c>
    </row>
    <row r="226" spans="1:10" x14ac:dyDescent="0.2">
      <c r="A226">
        <v>4767057</v>
      </c>
      <c r="B226" t="s">
        <v>9</v>
      </c>
      <c r="C226">
        <v>390000</v>
      </c>
      <c r="D226" s="1" t="d">
        <v>2008-07-08</v>
      </c>
      <c r="E226">
        <v>2008</v>
      </c>
      <c r="F226">
        <v>7</v>
      </c>
      <c r="G226">
        <v>8</v>
      </c>
      <c r="H226" t="s">
        <v>11</v>
      </c>
      <c r="I226">
        <v>16.317699999999999</v>
      </c>
      <c r="J226">
        <v>2140</v>
      </c>
    </row>
    <row r="227" spans="1:10" x14ac:dyDescent="0.2">
      <c r="A227">
        <v>4766932</v>
      </c>
      <c r="B227" t="s">
        <v>9</v>
      </c>
      <c r="C227">
        <v>395000</v>
      </c>
      <c r="D227" s="1" t="d">
        <v>2002-12-19</v>
      </c>
      <c r="E227">
        <v>2002</v>
      </c>
      <c r="F227">
        <v>12</v>
      </c>
      <c r="G227">
        <v>19</v>
      </c>
      <c r="H227" t="s">
        <v>12</v>
      </c>
      <c r="I227">
        <v>16.317699999999999</v>
      </c>
      <c r="J227">
        <v>2140</v>
      </c>
    </row>
    <row r="228" spans="1:10" x14ac:dyDescent="0.2">
      <c r="A228">
        <v>7620010</v>
      </c>
      <c r="B228" t="s">
        <v>9</v>
      </c>
      <c r="C228">
        <v>395000</v>
      </c>
      <c r="D228" s="1" t="d">
        <v>2015-12-11</v>
      </c>
      <c r="E228">
        <v>2015</v>
      </c>
      <c r="F228">
        <v>12</v>
      </c>
      <c r="G228">
        <v>11</v>
      </c>
      <c r="H228" t="s">
        <v>12</v>
      </c>
      <c r="I228">
        <v>16.317699999999999</v>
      </c>
    </row>
    <row r="229" spans="1:10" x14ac:dyDescent="0.2">
      <c r="A229">
        <v>7619987</v>
      </c>
      <c r="B229" t="s">
        <v>9</v>
      </c>
      <c r="C229">
        <v>399500</v>
      </c>
      <c r="D229" s="1" t="d">
        <v>2014-06-13</v>
      </c>
      <c r="E229">
        <v>2014</v>
      </c>
      <c r="F229">
        <v>6</v>
      </c>
      <c r="G229">
        <v>13</v>
      </c>
      <c r="H229" t="s">
        <v>13</v>
      </c>
      <c r="I229">
        <v>16.317699999999999</v>
      </c>
    </row>
    <row r="230" spans="1:10" x14ac:dyDescent="0.2">
      <c r="A230">
        <v>4766936</v>
      </c>
      <c r="B230" t="s">
        <v>9</v>
      </c>
      <c r="C230">
        <v>400000</v>
      </c>
      <c r="D230" s="1" t="d">
        <v>2003-01-31</v>
      </c>
      <c r="E230">
        <v>2003</v>
      </c>
      <c r="F230">
        <v>1</v>
      </c>
      <c r="G230">
        <v>31</v>
      </c>
      <c r="H230" t="s">
        <v>11</v>
      </c>
      <c r="I230">
        <v>16.317699999999999</v>
      </c>
      <c r="J230">
        <v>2140</v>
      </c>
    </row>
    <row r="231" spans="1:10" x14ac:dyDescent="0.2">
      <c r="A231">
        <v>4766972</v>
      </c>
      <c r="B231" t="s">
        <v>9</v>
      </c>
      <c r="C231">
        <v>400000</v>
      </c>
      <c r="D231" s="1" t="d">
        <v>2004-12-16</v>
      </c>
      <c r="E231">
        <v>2004</v>
      </c>
      <c r="F231">
        <v>12</v>
      </c>
      <c r="G231">
        <v>16</v>
      </c>
      <c r="H231" t="s">
        <v>11</v>
      </c>
      <c r="I231">
        <v>16.317699999999999</v>
      </c>
      <c r="J231">
        <v>2140</v>
      </c>
    </row>
    <row r="232" spans="1:10" x14ac:dyDescent="0.2">
      <c r="A232">
        <v>4766974</v>
      </c>
      <c r="B232" t="s">
        <v>9</v>
      </c>
      <c r="C232">
        <v>400000</v>
      </c>
      <c r="D232" s="1" t="d">
        <v>2004-12-08</v>
      </c>
      <c r="E232">
        <v>2004</v>
      </c>
      <c r="F232">
        <v>12</v>
      </c>
      <c r="G232">
        <v>8</v>
      </c>
      <c r="H232" t="s">
        <v>12</v>
      </c>
      <c r="I232">
        <v>16.317699999999999</v>
      </c>
      <c r="J232">
        <v>2140</v>
      </c>
    </row>
    <row r="233" spans="1:10" x14ac:dyDescent="0.2">
      <c r="A233">
        <v>4766987</v>
      </c>
      <c r="B233" t="s">
        <v>9</v>
      </c>
      <c r="C233">
        <v>400000</v>
      </c>
      <c r="D233" s="1" t="d">
        <v>2004-02-10</v>
      </c>
      <c r="E233">
        <v>2004</v>
      </c>
      <c r="F233">
        <v>2</v>
      </c>
      <c r="G233">
        <v>10</v>
      </c>
      <c r="H233" t="s">
        <v>12</v>
      </c>
      <c r="I233">
        <v>16.317699999999999</v>
      </c>
      <c r="J233">
        <v>2140</v>
      </c>
    </row>
    <row r="234" spans="1:10" x14ac:dyDescent="0.2">
      <c r="A234">
        <v>7620050</v>
      </c>
      <c r="B234" t="s">
        <v>9</v>
      </c>
      <c r="C234">
        <v>400000</v>
      </c>
      <c r="D234" s="1" t="d">
        <v>2016-12-20</v>
      </c>
      <c r="E234">
        <v>2016</v>
      </c>
      <c r="F234">
        <v>12</v>
      </c>
      <c r="G234">
        <v>20</v>
      </c>
      <c r="H234" t="s">
        <v>10</v>
      </c>
      <c r="I234">
        <v>16.317699999999999</v>
      </c>
    </row>
    <row r="235" spans="1:10" x14ac:dyDescent="0.2">
      <c r="A235">
        <v>4766999</v>
      </c>
      <c r="B235" t="s">
        <v>9</v>
      </c>
      <c r="C235">
        <v>401250</v>
      </c>
      <c r="D235" s="1" t="d">
        <v>2005-09-30</v>
      </c>
      <c r="E235">
        <v>2005</v>
      </c>
      <c r="F235">
        <v>9</v>
      </c>
      <c r="G235">
        <v>30</v>
      </c>
      <c r="H235" t="s">
        <v>12</v>
      </c>
      <c r="I235">
        <v>16.317699999999999</v>
      </c>
      <c r="J235">
        <v>2140</v>
      </c>
    </row>
    <row r="236" spans="1:10" x14ac:dyDescent="0.2">
      <c r="A236">
        <v>4766980</v>
      </c>
      <c r="B236" t="s">
        <v>9</v>
      </c>
      <c r="C236">
        <v>407500</v>
      </c>
      <c r="D236" s="1" t="d">
        <v>2004-12-17</v>
      </c>
      <c r="E236">
        <v>2004</v>
      </c>
      <c r="F236">
        <v>12</v>
      </c>
      <c r="G236">
        <v>17</v>
      </c>
      <c r="H236" t="s">
        <v>12</v>
      </c>
      <c r="I236">
        <v>16.317699999999999</v>
      </c>
      <c r="J236">
        <v>2140</v>
      </c>
    </row>
    <row r="237" spans="1:10" x14ac:dyDescent="0.2">
      <c r="A237">
        <v>7620022</v>
      </c>
      <c r="B237" t="s">
        <v>9</v>
      </c>
      <c r="C237">
        <v>410000</v>
      </c>
      <c r="D237" s="1" t="d">
        <v>2015-11-18</v>
      </c>
      <c r="E237">
        <v>2015</v>
      </c>
      <c r="F237">
        <v>11</v>
      </c>
      <c r="G237">
        <v>18</v>
      </c>
      <c r="H237" t="s">
        <v>11</v>
      </c>
      <c r="I237">
        <v>16.317699999999999</v>
      </c>
    </row>
    <row r="238" spans="1:10" x14ac:dyDescent="0.2">
      <c r="A238">
        <v>7620055</v>
      </c>
      <c r="B238" t="s">
        <v>9</v>
      </c>
      <c r="C238">
        <v>410000</v>
      </c>
      <c r="D238" s="1" t="d">
        <v>2017-02-23</v>
      </c>
      <c r="E238">
        <v>2017</v>
      </c>
      <c r="F238">
        <v>2</v>
      </c>
      <c r="G238">
        <v>23</v>
      </c>
      <c r="H238" t="s">
        <v>10</v>
      </c>
      <c r="I238">
        <v>16.317699999999999</v>
      </c>
    </row>
    <row r="239" spans="1:10" x14ac:dyDescent="0.2">
      <c r="A239">
        <v>4767076</v>
      </c>
      <c r="B239" t="s">
        <v>9</v>
      </c>
      <c r="C239">
        <v>415000</v>
      </c>
      <c r="D239" s="1" t="d">
        <v>2010-07-19</v>
      </c>
      <c r="E239">
        <v>2010</v>
      </c>
      <c r="F239">
        <v>7</v>
      </c>
      <c r="G239">
        <v>19</v>
      </c>
      <c r="H239" t="s">
        <v>12</v>
      </c>
      <c r="I239">
        <v>16.317699999999999</v>
      </c>
      <c r="J239">
        <v>2140</v>
      </c>
    </row>
    <row r="240" spans="1:10" x14ac:dyDescent="0.2">
      <c r="A240">
        <v>7620031</v>
      </c>
      <c r="B240" t="s">
        <v>9</v>
      </c>
      <c r="C240">
        <v>417500</v>
      </c>
      <c r="D240" s="1" t="d">
        <v>2016-09-21</v>
      </c>
      <c r="E240">
        <v>2016</v>
      </c>
      <c r="F240">
        <v>9</v>
      </c>
      <c r="G240">
        <v>21</v>
      </c>
      <c r="H240" t="s">
        <v>12</v>
      </c>
      <c r="I240">
        <v>16.317699999999999</v>
      </c>
    </row>
    <row r="241" spans="1:10" x14ac:dyDescent="0.2">
      <c r="A241">
        <v>4766941</v>
      </c>
      <c r="B241" t="s">
        <v>9</v>
      </c>
      <c r="C241">
        <v>418625</v>
      </c>
      <c r="D241" s="1" t="d">
        <v>2003-09-30</v>
      </c>
      <c r="E241">
        <v>2003</v>
      </c>
      <c r="F241">
        <v>9</v>
      </c>
      <c r="G241">
        <v>30</v>
      </c>
      <c r="H241" t="s">
        <v>10</v>
      </c>
      <c r="I241">
        <v>16.317699999999999</v>
      </c>
      <c r="J241">
        <v>2140</v>
      </c>
    </row>
    <row r="242" spans="1:10" x14ac:dyDescent="0.2">
      <c r="A242">
        <v>4767011</v>
      </c>
      <c r="B242" t="s">
        <v>9</v>
      </c>
      <c r="C242">
        <v>420000</v>
      </c>
      <c r="D242" s="1" t="d">
        <v>2006-12-05</v>
      </c>
      <c r="E242">
        <v>2006</v>
      </c>
      <c r="F242">
        <v>12</v>
      </c>
      <c r="G242">
        <v>5</v>
      </c>
      <c r="H242" t="s">
        <v>13</v>
      </c>
      <c r="I242">
        <v>16.317699999999999</v>
      </c>
      <c r="J242">
        <v>2140</v>
      </c>
    </row>
    <row r="243" spans="1:10" x14ac:dyDescent="0.2">
      <c r="A243">
        <v>7619945</v>
      </c>
      <c r="B243" t="s">
        <v>9</v>
      </c>
      <c r="C243">
        <v>420000</v>
      </c>
      <c r="D243" s="1" t="d">
        <v>2011-08-17</v>
      </c>
      <c r="E243">
        <v>2011</v>
      </c>
      <c r="F243">
        <v>8</v>
      </c>
      <c r="G243">
        <v>17</v>
      </c>
      <c r="H243" t="s">
        <v>10</v>
      </c>
      <c r="I243">
        <v>16.317699999999999</v>
      </c>
    </row>
    <row r="244" spans="1:10" x14ac:dyDescent="0.2">
      <c r="A244">
        <v>4766956</v>
      </c>
      <c r="B244" t="s">
        <v>9</v>
      </c>
      <c r="C244">
        <v>425000</v>
      </c>
      <c r="D244" s="1" t="d">
        <v>2003-12-12</v>
      </c>
      <c r="E244">
        <v>2003</v>
      </c>
      <c r="F244">
        <v>12</v>
      </c>
      <c r="G244">
        <v>12</v>
      </c>
      <c r="H244" t="s">
        <v>12</v>
      </c>
      <c r="I244">
        <v>16.317699999999999</v>
      </c>
      <c r="J244">
        <v>2140</v>
      </c>
    </row>
    <row r="245" spans="1:10" x14ac:dyDescent="0.2">
      <c r="A245">
        <v>4766962</v>
      </c>
      <c r="B245" t="s">
        <v>9</v>
      </c>
      <c r="C245">
        <v>425000</v>
      </c>
      <c r="D245" s="1" t="d">
        <v>2003-11-18</v>
      </c>
      <c r="E245">
        <v>2003</v>
      </c>
      <c r="F245">
        <v>11</v>
      </c>
      <c r="G245">
        <v>18</v>
      </c>
      <c r="H245" t="s">
        <v>12</v>
      </c>
      <c r="I245">
        <v>16.317699999999999</v>
      </c>
      <c r="J245">
        <v>2140</v>
      </c>
    </row>
    <row r="246" spans="1:10" x14ac:dyDescent="0.2">
      <c r="A246">
        <v>4767009</v>
      </c>
      <c r="B246" t="s">
        <v>9</v>
      </c>
      <c r="C246">
        <v>425000</v>
      </c>
      <c r="D246" s="1" t="d">
        <v>2006-11-01</v>
      </c>
      <c r="E246">
        <v>2006</v>
      </c>
      <c r="F246">
        <v>11</v>
      </c>
      <c r="G246">
        <v>1</v>
      </c>
      <c r="H246" t="s">
        <v>10</v>
      </c>
      <c r="I246">
        <v>16.317699999999999</v>
      </c>
      <c r="J246">
        <v>2140</v>
      </c>
    </row>
    <row r="247" spans="1:10" x14ac:dyDescent="0.2">
      <c r="A247">
        <v>4767052</v>
      </c>
      <c r="B247" t="s">
        <v>9</v>
      </c>
      <c r="C247">
        <v>425000</v>
      </c>
      <c r="D247" s="1" t="d">
        <v>2008-01-15</v>
      </c>
      <c r="E247">
        <v>2008</v>
      </c>
      <c r="F247">
        <v>1</v>
      </c>
      <c r="G247">
        <v>15</v>
      </c>
      <c r="H247" t="s">
        <v>10</v>
      </c>
      <c r="I247">
        <v>16.317699999999999</v>
      </c>
      <c r="J247">
        <v>2140</v>
      </c>
    </row>
    <row r="248" spans="1:10" x14ac:dyDescent="0.2">
      <c r="A248">
        <v>4767080</v>
      </c>
      <c r="B248" t="s">
        <v>9</v>
      </c>
      <c r="C248">
        <v>425000</v>
      </c>
      <c r="D248" s="1" t="d">
        <v>2010-08-03</v>
      </c>
      <c r="E248">
        <v>2010</v>
      </c>
      <c r="F248">
        <v>8</v>
      </c>
      <c r="G248">
        <v>3</v>
      </c>
      <c r="H248" t="s">
        <v>10</v>
      </c>
      <c r="I248">
        <v>16.317699999999999</v>
      </c>
      <c r="J248">
        <v>2140</v>
      </c>
    </row>
    <row r="249" spans="1:10" x14ac:dyDescent="0.2">
      <c r="A249">
        <v>7619951</v>
      </c>
      <c r="B249" t="s">
        <v>9</v>
      </c>
      <c r="C249">
        <v>425000</v>
      </c>
      <c r="D249" s="1" t="d">
        <v>2011-06-17</v>
      </c>
      <c r="E249">
        <v>2011</v>
      </c>
      <c r="F249">
        <v>6</v>
      </c>
      <c r="G249">
        <v>17</v>
      </c>
      <c r="H249" t="s">
        <v>13</v>
      </c>
      <c r="I249">
        <v>16.317699999999999</v>
      </c>
    </row>
    <row r="250" spans="1:10" x14ac:dyDescent="0.2">
      <c r="A250">
        <v>4766940</v>
      </c>
      <c r="B250" t="s">
        <v>9</v>
      </c>
      <c r="C250">
        <v>430000</v>
      </c>
      <c r="D250" s="1" t="d">
        <v>2003-06-04</v>
      </c>
      <c r="E250">
        <v>2003</v>
      </c>
      <c r="F250">
        <v>6</v>
      </c>
      <c r="G250">
        <v>4</v>
      </c>
      <c r="H250" t="s">
        <v>12</v>
      </c>
      <c r="I250">
        <v>16.317699999999999</v>
      </c>
      <c r="J250">
        <v>2140</v>
      </c>
    </row>
    <row r="251" spans="1:10" x14ac:dyDescent="0.2">
      <c r="A251">
        <v>4767029</v>
      </c>
      <c r="B251" t="s">
        <v>9</v>
      </c>
      <c r="C251">
        <v>430000</v>
      </c>
      <c r="D251" s="1" t="d">
        <v>2007-01-31</v>
      </c>
      <c r="E251">
        <v>2007</v>
      </c>
      <c r="F251">
        <v>1</v>
      </c>
      <c r="G251">
        <v>31</v>
      </c>
      <c r="H251" t="s">
        <v>12</v>
      </c>
      <c r="I251">
        <v>16.317699999999999</v>
      </c>
      <c r="J251">
        <v>2140</v>
      </c>
    </row>
    <row r="252" spans="1:10" x14ac:dyDescent="0.2">
      <c r="A252">
        <v>4767033</v>
      </c>
      <c r="B252" t="s">
        <v>9</v>
      </c>
      <c r="C252">
        <v>430000</v>
      </c>
      <c r="D252" s="1" t="d">
        <v>2007-10-31</v>
      </c>
      <c r="E252">
        <v>2007</v>
      </c>
      <c r="F252">
        <v>10</v>
      </c>
      <c r="G252">
        <v>31</v>
      </c>
      <c r="H252" t="s">
        <v>11</v>
      </c>
      <c r="I252">
        <v>16.317699999999999</v>
      </c>
      <c r="J252">
        <v>2140</v>
      </c>
    </row>
    <row r="253" spans="1:10" x14ac:dyDescent="0.2">
      <c r="A253">
        <v>7620064</v>
      </c>
      <c r="B253" t="s">
        <v>9</v>
      </c>
      <c r="C253">
        <v>430000</v>
      </c>
      <c r="D253" s="1" t="d">
        <v>2017-01-06</v>
      </c>
      <c r="E253">
        <v>2017</v>
      </c>
      <c r="F253">
        <v>1</v>
      </c>
      <c r="G253">
        <v>6</v>
      </c>
      <c r="H253" t="s">
        <v>10</v>
      </c>
      <c r="I253">
        <v>16.317699999999999</v>
      </c>
    </row>
    <row r="254" spans="1:10" x14ac:dyDescent="0.2">
      <c r="A254">
        <v>7620025</v>
      </c>
      <c r="B254" t="s">
        <v>9</v>
      </c>
      <c r="C254">
        <v>432500</v>
      </c>
      <c r="D254" s="1" t="d">
        <v>2016-03-29</v>
      </c>
      <c r="E254">
        <v>2016</v>
      </c>
      <c r="F254">
        <v>3</v>
      </c>
      <c r="G254">
        <v>29</v>
      </c>
      <c r="H254" t="s">
        <v>11</v>
      </c>
      <c r="I254">
        <v>16.317699999999999</v>
      </c>
    </row>
    <row r="255" spans="1:10" x14ac:dyDescent="0.2">
      <c r="A255">
        <v>4767004</v>
      </c>
      <c r="B255" t="s">
        <v>9</v>
      </c>
      <c r="C255">
        <v>435000</v>
      </c>
      <c r="D255" s="1" t="d">
        <v>2006-01-11</v>
      </c>
      <c r="E255">
        <v>2006</v>
      </c>
      <c r="F255">
        <v>1</v>
      </c>
      <c r="G255">
        <v>11</v>
      </c>
      <c r="H255" t="s">
        <v>12</v>
      </c>
      <c r="I255">
        <v>16.317699999999999</v>
      </c>
      <c r="J255">
        <v>2140</v>
      </c>
    </row>
    <row r="256" spans="1:10" x14ac:dyDescent="0.2">
      <c r="A256">
        <v>4767010</v>
      </c>
      <c r="B256" t="s">
        <v>9</v>
      </c>
      <c r="C256">
        <v>437500</v>
      </c>
      <c r="D256" s="1" t="d">
        <v>2006-10-03</v>
      </c>
      <c r="E256">
        <v>2006</v>
      </c>
      <c r="F256">
        <v>10</v>
      </c>
      <c r="G256">
        <v>3</v>
      </c>
      <c r="H256" t="s">
        <v>11</v>
      </c>
      <c r="I256">
        <v>16.317699999999999</v>
      </c>
      <c r="J256">
        <v>2140</v>
      </c>
    </row>
    <row r="257" spans="1:10" x14ac:dyDescent="0.2">
      <c r="A257">
        <v>4767023</v>
      </c>
      <c r="B257" t="s">
        <v>9</v>
      </c>
      <c r="C257">
        <v>439635</v>
      </c>
      <c r="D257" s="1" t="d">
        <v>2006-09-29</v>
      </c>
      <c r="E257">
        <v>2006</v>
      </c>
      <c r="F257">
        <v>9</v>
      </c>
      <c r="G257">
        <v>29</v>
      </c>
      <c r="H257" t="s">
        <v>11</v>
      </c>
      <c r="I257">
        <v>16.317699999999999</v>
      </c>
      <c r="J257">
        <v>2140</v>
      </c>
    </row>
    <row r="258" spans="1:10" x14ac:dyDescent="0.2">
      <c r="A258">
        <v>7620028</v>
      </c>
      <c r="B258" t="s">
        <v>9</v>
      </c>
      <c r="C258">
        <v>440000</v>
      </c>
      <c r="D258" s="1" t="d">
        <v>2016-05-25</v>
      </c>
      <c r="E258">
        <v>2016</v>
      </c>
      <c r="F258">
        <v>5</v>
      </c>
      <c r="G258">
        <v>25</v>
      </c>
      <c r="H258" t="s">
        <v>12</v>
      </c>
      <c r="I258">
        <v>16.317699999999999</v>
      </c>
    </row>
    <row r="259" spans="1:10" x14ac:dyDescent="0.2">
      <c r="A259">
        <v>4766991</v>
      </c>
      <c r="B259" t="s">
        <v>9</v>
      </c>
      <c r="C259">
        <v>445000</v>
      </c>
      <c r="D259" s="1" t="d">
        <v>2005-09-02</v>
      </c>
      <c r="E259">
        <v>2005</v>
      </c>
      <c r="F259">
        <v>9</v>
      </c>
      <c r="G259">
        <v>2</v>
      </c>
      <c r="H259" t="s">
        <v>11</v>
      </c>
      <c r="I259">
        <v>16.317699999999999</v>
      </c>
      <c r="J259">
        <v>2140</v>
      </c>
    </row>
    <row r="260" spans="1:10" x14ac:dyDescent="0.2">
      <c r="A260">
        <v>7619965</v>
      </c>
      <c r="B260" t="s">
        <v>9</v>
      </c>
      <c r="C260">
        <v>445000</v>
      </c>
      <c r="D260" s="1" t="d">
        <v>2012-02-08</v>
      </c>
      <c r="E260">
        <v>2012</v>
      </c>
      <c r="F260">
        <v>2</v>
      </c>
      <c r="G260">
        <v>8</v>
      </c>
      <c r="H260" t="s">
        <v>11</v>
      </c>
      <c r="I260">
        <v>16.317699999999999</v>
      </c>
    </row>
    <row r="261" spans="1:10" x14ac:dyDescent="0.2">
      <c r="A261">
        <v>7620053</v>
      </c>
      <c r="B261" t="s">
        <v>9</v>
      </c>
      <c r="C261">
        <v>445000</v>
      </c>
      <c r="D261" s="1" t="d">
        <v>2016-10-17</v>
      </c>
      <c r="E261">
        <v>2016</v>
      </c>
      <c r="F261">
        <v>10</v>
      </c>
      <c r="G261">
        <v>17</v>
      </c>
      <c r="H261" t="s">
        <v>14</v>
      </c>
      <c r="I261">
        <v>16.317699999999999</v>
      </c>
    </row>
    <row r="262" spans="1:10" x14ac:dyDescent="0.2">
      <c r="A262">
        <v>4766957</v>
      </c>
      <c r="B262" t="s">
        <v>9</v>
      </c>
      <c r="C262">
        <v>450000</v>
      </c>
      <c r="D262" s="1" t="d">
        <v>2003-07-11</v>
      </c>
      <c r="E262">
        <v>2003</v>
      </c>
      <c r="F262">
        <v>7</v>
      </c>
      <c r="G262">
        <v>11</v>
      </c>
      <c r="H262" t="s">
        <v>12</v>
      </c>
      <c r="I262">
        <v>16.317699999999999</v>
      </c>
      <c r="J262">
        <v>2140</v>
      </c>
    </row>
    <row r="263" spans="1:10" x14ac:dyDescent="0.2">
      <c r="A263">
        <v>4767045</v>
      </c>
      <c r="B263" t="s">
        <v>9</v>
      </c>
      <c r="C263">
        <v>450000</v>
      </c>
      <c r="D263" s="1" t="d">
        <v>2007-11-08</v>
      </c>
      <c r="E263">
        <v>2007</v>
      </c>
      <c r="F263">
        <v>11</v>
      </c>
      <c r="G263">
        <v>8</v>
      </c>
      <c r="H263" t="s">
        <v>12</v>
      </c>
      <c r="I263">
        <v>16.317699999999999</v>
      </c>
      <c r="J263">
        <v>2140</v>
      </c>
    </row>
    <row r="264" spans="1:10" x14ac:dyDescent="0.2">
      <c r="A264">
        <v>4767060</v>
      </c>
      <c r="B264" t="s">
        <v>9</v>
      </c>
      <c r="C264">
        <v>450000</v>
      </c>
      <c r="D264" s="1" t="d">
        <v>2009-02-27</v>
      </c>
      <c r="E264">
        <v>2009</v>
      </c>
      <c r="F264">
        <v>2</v>
      </c>
      <c r="G264">
        <v>27</v>
      </c>
      <c r="H264" t="s">
        <v>11</v>
      </c>
      <c r="I264">
        <v>16.317699999999999</v>
      </c>
      <c r="J264">
        <v>2140</v>
      </c>
    </row>
    <row r="265" spans="1:10" x14ac:dyDescent="0.2">
      <c r="A265">
        <v>7619992</v>
      </c>
      <c r="B265" t="s">
        <v>9</v>
      </c>
      <c r="C265">
        <v>458000</v>
      </c>
      <c r="D265" s="1" t="d">
        <v>2014-10-24</v>
      </c>
      <c r="E265">
        <v>2014</v>
      </c>
      <c r="F265">
        <v>10</v>
      </c>
      <c r="G265">
        <v>24</v>
      </c>
      <c r="H265" t="s">
        <v>11</v>
      </c>
      <c r="I265">
        <v>16.317699999999999</v>
      </c>
    </row>
    <row r="266" spans="1:10" x14ac:dyDescent="0.2">
      <c r="A266">
        <v>7619982</v>
      </c>
      <c r="B266" t="s">
        <v>9</v>
      </c>
      <c r="C266">
        <v>460000</v>
      </c>
      <c r="D266" s="1" t="d">
        <v>2014-06-20</v>
      </c>
      <c r="E266">
        <v>2014</v>
      </c>
      <c r="F266">
        <v>6</v>
      </c>
      <c r="G266">
        <v>20</v>
      </c>
      <c r="H266" t="s">
        <v>10</v>
      </c>
      <c r="I266">
        <v>16.317699999999999</v>
      </c>
    </row>
    <row r="267" spans="1:10" x14ac:dyDescent="0.2">
      <c r="A267">
        <v>7619999</v>
      </c>
      <c r="B267" t="s">
        <v>9</v>
      </c>
      <c r="C267">
        <v>460000</v>
      </c>
      <c r="D267" s="1" t="d">
        <v>2014-11-12</v>
      </c>
      <c r="E267">
        <v>2014</v>
      </c>
      <c r="F267">
        <v>11</v>
      </c>
      <c r="G267">
        <v>12</v>
      </c>
      <c r="H267" t="s">
        <v>12</v>
      </c>
      <c r="I267">
        <v>16.317699999999999</v>
      </c>
    </row>
    <row r="268" spans="1:10" x14ac:dyDescent="0.2">
      <c r="A268">
        <v>4767013</v>
      </c>
      <c r="B268" t="s">
        <v>9</v>
      </c>
      <c r="C268">
        <v>470000</v>
      </c>
      <c r="D268" s="1" t="d">
        <v>2006-11-17</v>
      </c>
      <c r="E268">
        <v>2006</v>
      </c>
      <c r="F268">
        <v>11</v>
      </c>
      <c r="G268">
        <v>17</v>
      </c>
      <c r="H268" t="s">
        <v>13</v>
      </c>
      <c r="I268">
        <v>16.317699999999999</v>
      </c>
      <c r="J268">
        <v>2140</v>
      </c>
    </row>
    <row r="269" spans="1:10" x14ac:dyDescent="0.2">
      <c r="A269">
        <v>4766925</v>
      </c>
      <c r="B269" t="s">
        <v>9</v>
      </c>
      <c r="C269">
        <v>475000</v>
      </c>
      <c r="D269" s="1" t="d">
        <v>2002-11-07</v>
      </c>
      <c r="E269">
        <v>2002</v>
      </c>
      <c r="F269">
        <v>11</v>
      </c>
      <c r="G269">
        <v>7</v>
      </c>
      <c r="H269" t="s">
        <v>12</v>
      </c>
      <c r="I269">
        <v>16.317699999999999</v>
      </c>
      <c r="J269">
        <v>2140</v>
      </c>
    </row>
    <row r="270" spans="1:10" x14ac:dyDescent="0.2">
      <c r="A270">
        <v>4767027</v>
      </c>
      <c r="B270" t="s">
        <v>9</v>
      </c>
      <c r="C270">
        <v>475000</v>
      </c>
      <c r="D270" s="1" t="d">
        <v>2006-01-12</v>
      </c>
      <c r="E270">
        <v>2006</v>
      </c>
      <c r="F270">
        <v>1</v>
      </c>
      <c r="G270">
        <v>12</v>
      </c>
      <c r="H270" t="s">
        <v>11</v>
      </c>
      <c r="I270">
        <v>16.317699999999999</v>
      </c>
      <c r="J270">
        <v>2140</v>
      </c>
    </row>
    <row r="271" spans="1:10" x14ac:dyDescent="0.2">
      <c r="A271">
        <v>7620035</v>
      </c>
      <c r="B271" t="s">
        <v>9</v>
      </c>
      <c r="C271">
        <v>475000</v>
      </c>
      <c r="D271" s="1" t="d">
        <v>2016-03-11</v>
      </c>
      <c r="E271">
        <v>2016</v>
      </c>
      <c r="F271">
        <v>3</v>
      </c>
      <c r="G271">
        <v>11</v>
      </c>
      <c r="H271" t="s">
        <v>12</v>
      </c>
      <c r="I271">
        <v>16.317699999999999</v>
      </c>
    </row>
    <row r="272" spans="1:10" x14ac:dyDescent="0.2">
      <c r="A272">
        <v>4767028</v>
      </c>
      <c r="B272" t="s">
        <v>9</v>
      </c>
      <c r="C272">
        <v>480000</v>
      </c>
      <c r="D272" s="1" t="d">
        <v>2006-11-10</v>
      </c>
      <c r="E272">
        <v>2006</v>
      </c>
      <c r="F272">
        <v>11</v>
      </c>
      <c r="G272">
        <v>10</v>
      </c>
      <c r="H272" t="s">
        <v>12</v>
      </c>
      <c r="I272">
        <v>16.317699999999999</v>
      </c>
      <c r="J272">
        <v>2140</v>
      </c>
    </row>
    <row r="273" spans="1:10" x14ac:dyDescent="0.2">
      <c r="A273">
        <v>4767058</v>
      </c>
      <c r="B273" t="s">
        <v>9</v>
      </c>
      <c r="C273">
        <v>480000</v>
      </c>
      <c r="D273" s="1" t="d">
        <v>2009-09-18</v>
      </c>
      <c r="E273">
        <v>2009</v>
      </c>
      <c r="F273">
        <v>9</v>
      </c>
      <c r="G273">
        <v>18</v>
      </c>
      <c r="H273" t="s">
        <v>11</v>
      </c>
      <c r="I273">
        <v>16.317699999999999</v>
      </c>
      <c r="J273">
        <v>2140</v>
      </c>
    </row>
    <row r="274" spans="1:10" x14ac:dyDescent="0.2">
      <c r="A274">
        <v>7620044</v>
      </c>
      <c r="B274" t="s">
        <v>9</v>
      </c>
      <c r="C274">
        <v>480000</v>
      </c>
      <c r="D274" s="1" t="d">
        <v>2016-11-04</v>
      </c>
      <c r="E274">
        <v>2016</v>
      </c>
      <c r="F274">
        <v>11</v>
      </c>
      <c r="G274">
        <v>4</v>
      </c>
      <c r="H274" t="s">
        <v>14</v>
      </c>
      <c r="I274">
        <v>16.317699999999999</v>
      </c>
    </row>
    <row r="275" spans="1:10" x14ac:dyDescent="0.2">
      <c r="A275">
        <v>4767022</v>
      </c>
      <c r="B275" t="s">
        <v>9</v>
      </c>
      <c r="C275">
        <v>485000</v>
      </c>
      <c r="D275" s="1" t="d">
        <v>2006-05-24</v>
      </c>
      <c r="E275">
        <v>2006</v>
      </c>
      <c r="F275">
        <v>5</v>
      </c>
      <c r="G275">
        <v>24</v>
      </c>
      <c r="H275" t="s">
        <v>11</v>
      </c>
      <c r="I275">
        <v>16.317699999999999</v>
      </c>
      <c r="J275">
        <v>2140</v>
      </c>
    </row>
    <row r="276" spans="1:10" x14ac:dyDescent="0.2">
      <c r="A276">
        <v>4766971</v>
      </c>
      <c r="B276" t="s">
        <v>9</v>
      </c>
      <c r="C276">
        <v>490000</v>
      </c>
      <c r="D276" s="1" t="d">
        <v>2004-08-12</v>
      </c>
      <c r="E276">
        <v>2004</v>
      </c>
      <c r="F276">
        <v>8</v>
      </c>
      <c r="G276">
        <v>12</v>
      </c>
      <c r="H276" t="s">
        <v>12</v>
      </c>
      <c r="I276">
        <v>16.317699999999999</v>
      </c>
      <c r="J276">
        <v>2140</v>
      </c>
    </row>
    <row r="277" spans="1:10" x14ac:dyDescent="0.2">
      <c r="A277">
        <v>4766998</v>
      </c>
      <c r="B277" t="s">
        <v>9</v>
      </c>
      <c r="C277">
        <v>490000</v>
      </c>
      <c r="D277" s="1" t="d">
        <v>2005-07-12</v>
      </c>
      <c r="E277">
        <v>2005</v>
      </c>
      <c r="F277">
        <v>7</v>
      </c>
      <c r="G277">
        <v>12</v>
      </c>
      <c r="H277" t="s">
        <v>11</v>
      </c>
      <c r="I277">
        <v>16.317699999999999</v>
      </c>
      <c r="J277">
        <v>2140</v>
      </c>
    </row>
    <row r="278" spans="1:10" x14ac:dyDescent="0.2">
      <c r="A278">
        <v>4767049</v>
      </c>
      <c r="B278" t="s">
        <v>9</v>
      </c>
      <c r="C278">
        <v>495000</v>
      </c>
      <c r="D278" s="1" t="d">
        <v>2007-03-05</v>
      </c>
      <c r="E278">
        <v>2007</v>
      </c>
      <c r="F278">
        <v>3</v>
      </c>
      <c r="G278">
        <v>5</v>
      </c>
      <c r="H278" t="s">
        <v>12</v>
      </c>
      <c r="I278">
        <v>16.317699999999999</v>
      </c>
      <c r="J278">
        <v>2140</v>
      </c>
    </row>
    <row r="279" spans="1:10" x14ac:dyDescent="0.2">
      <c r="A279">
        <v>4767068</v>
      </c>
      <c r="B279" t="s">
        <v>9</v>
      </c>
      <c r="C279">
        <v>495000</v>
      </c>
      <c r="D279" s="1" t="d">
        <v>2009-02-09</v>
      </c>
      <c r="E279">
        <v>2009</v>
      </c>
      <c r="F279">
        <v>2</v>
      </c>
      <c r="G279">
        <v>9</v>
      </c>
      <c r="H279" t="s">
        <v>11</v>
      </c>
      <c r="I279">
        <v>16.317699999999999</v>
      </c>
      <c r="J279">
        <v>2140</v>
      </c>
    </row>
    <row r="280" spans="1:10" x14ac:dyDescent="0.2">
      <c r="A280">
        <v>7619940</v>
      </c>
      <c r="B280" t="s">
        <v>9</v>
      </c>
      <c r="C280">
        <v>495000</v>
      </c>
      <c r="D280" s="1" t="d">
        <v>2011-09-28</v>
      </c>
      <c r="E280">
        <v>2011</v>
      </c>
      <c r="F280">
        <v>9</v>
      </c>
      <c r="G280">
        <v>28</v>
      </c>
      <c r="H280" t="s">
        <v>11</v>
      </c>
      <c r="I280">
        <v>16.317699999999999</v>
      </c>
    </row>
    <row r="281" spans="1:10" x14ac:dyDescent="0.2">
      <c r="A281">
        <v>7619971</v>
      </c>
      <c r="B281" t="s">
        <v>9</v>
      </c>
      <c r="C281">
        <v>495000</v>
      </c>
      <c r="D281" s="1" t="d">
        <v>2013-03-28</v>
      </c>
      <c r="E281">
        <v>2013</v>
      </c>
      <c r="F281">
        <v>3</v>
      </c>
      <c r="G281">
        <v>28</v>
      </c>
      <c r="H281" t="s">
        <v>12</v>
      </c>
      <c r="I281">
        <v>16.317699999999999</v>
      </c>
    </row>
    <row r="282" spans="1:10" x14ac:dyDescent="0.2">
      <c r="A282">
        <v>7620008</v>
      </c>
      <c r="B282" t="s">
        <v>9</v>
      </c>
      <c r="C282">
        <v>495000</v>
      </c>
      <c r="D282" s="1" t="d">
        <v>2015-06-12</v>
      </c>
      <c r="E282">
        <v>2015</v>
      </c>
      <c r="F282">
        <v>6</v>
      </c>
      <c r="G282">
        <v>12</v>
      </c>
      <c r="H282" t="s">
        <v>12</v>
      </c>
      <c r="I282">
        <v>16.317699999999999</v>
      </c>
    </row>
    <row r="283" spans="1:10" x14ac:dyDescent="0.2">
      <c r="A283">
        <v>4766955</v>
      </c>
      <c r="B283" t="s">
        <v>9</v>
      </c>
      <c r="C283">
        <v>499000</v>
      </c>
      <c r="D283" s="1" t="d">
        <v>2003-06-13</v>
      </c>
      <c r="E283">
        <v>2003</v>
      </c>
      <c r="F283">
        <v>6</v>
      </c>
      <c r="G283">
        <v>13</v>
      </c>
      <c r="H283" t="s">
        <v>12</v>
      </c>
      <c r="I283">
        <v>16.317699999999999</v>
      </c>
      <c r="J283">
        <v>2140</v>
      </c>
    </row>
    <row r="284" spans="1:10" x14ac:dyDescent="0.2">
      <c r="A284">
        <v>4767073</v>
      </c>
      <c r="B284" t="s">
        <v>9</v>
      </c>
      <c r="C284">
        <v>500000</v>
      </c>
      <c r="D284" s="1" t="d">
        <v>2010-10-06</v>
      </c>
      <c r="E284">
        <v>2010</v>
      </c>
      <c r="F284">
        <v>10</v>
      </c>
      <c r="G284">
        <v>6</v>
      </c>
      <c r="H284" t="s">
        <v>11</v>
      </c>
      <c r="I284">
        <v>16.317699999999999</v>
      </c>
      <c r="J284">
        <v>2140</v>
      </c>
    </row>
    <row r="285" spans="1:10" x14ac:dyDescent="0.2">
      <c r="A285">
        <v>7619972</v>
      </c>
      <c r="B285" t="s">
        <v>9</v>
      </c>
      <c r="C285">
        <v>500000</v>
      </c>
      <c r="D285" s="1" t="d">
        <v>2013-08-16</v>
      </c>
      <c r="E285">
        <v>2013</v>
      </c>
      <c r="F285">
        <v>8</v>
      </c>
      <c r="G285">
        <v>16</v>
      </c>
      <c r="H285" t="s">
        <v>12</v>
      </c>
      <c r="I285">
        <v>16.317699999999999</v>
      </c>
    </row>
    <row r="286" spans="1:10" x14ac:dyDescent="0.2">
      <c r="A286">
        <v>4767003</v>
      </c>
      <c r="B286" t="s">
        <v>9</v>
      </c>
      <c r="C286">
        <v>505000</v>
      </c>
      <c r="D286" s="1" t="d">
        <v>2006-10-09</v>
      </c>
      <c r="E286">
        <v>2006</v>
      </c>
      <c r="F286">
        <v>10</v>
      </c>
      <c r="G286">
        <v>9</v>
      </c>
      <c r="H286" t="s">
        <v>12</v>
      </c>
      <c r="I286">
        <v>16.317699999999999</v>
      </c>
      <c r="J286">
        <v>2140</v>
      </c>
    </row>
    <row r="287" spans="1:10" x14ac:dyDescent="0.2">
      <c r="A287">
        <v>7619942</v>
      </c>
      <c r="B287" t="s">
        <v>9</v>
      </c>
      <c r="C287">
        <v>515000</v>
      </c>
      <c r="D287" s="1" t="d">
        <v>2011-08-19</v>
      </c>
      <c r="E287">
        <v>2011</v>
      </c>
      <c r="F287">
        <v>8</v>
      </c>
      <c r="G287">
        <v>19</v>
      </c>
      <c r="H287" t="s">
        <v>11</v>
      </c>
      <c r="I287">
        <v>16.317699999999999</v>
      </c>
    </row>
    <row r="288" spans="1:10" x14ac:dyDescent="0.2">
      <c r="A288">
        <v>4766938</v>
      </c>
      <c r="B288" t="s">
        <v>9</v>
      </c>
      <c r="C288">
        <v>516000</v>
      </c>
      <c r="D288" s="1" t="d">
        <v>2003-01-07</v>
      </c>
      <c r="E288">
        <v>2003</v>
      </c>
      <c r="F288">
        <v>1</v>
      </c>
      <c r="G288">
        <v>7</v>
      </c>
      <c r="H288" t="s">
        <v>12</v>
      </c>
      <c r="I288">
        <v>16.317699999999999</v>
      </c>
      <c r="J288">
        <v>2140</v>
      </c>
    </row>
    <row r="289" spans="1:10" x14ac:dyDescent="0.2">
      <c r="A289">
        <v>4766976</v>
      </c>
      <c r="B289" t="s">
        <v>9</v>
      </c>
      <c r="C289">
        <v>533000</v>
      </c>
      <c r="D289" s="1" t="d">
        <v>2004-01-30</v>
      </c>
      <c r="E289">
        <v>2004</v>
      </c>
      <c r="F289">
        <v>1</v>
      </c>
      <c r="G289">
        <v>30</v>
      </c>
      <c r="H289" t="s">
        <v>12</v>
      </c>
      <c r="I289">
        <v>16.317699999999999</v>
      </c>
      <c r="J289">
        <v>2140</v>
      </c>
    </row>
    <row r="290" spans="1:10" x14ac:dyDescent="0.2">
      <c r="A290">
        <v>4767007</v>
      </c>
      <c r="B290" t="s">
        <v>9</v>
      </c>
      <c r="C290">
        <v>545000</v>
      </c>
      <c r="D290" s="1" t="d">
        <v>2006-10-30</v>
      </c>
      <c r="E290">
        <v>2006</v>
      </c>
      <c r="F290">
        <v>10</v>
      </c>
      <c r="G290">
        <v>30</v>
      </c>
      <c r="H290" t="s">
        <v>12</v>
      </c>
      <c r="I290">
        <v>16.317699999999999</v>
      </c>
      <c r="J290">
        <v>2140</v>
      </c>
    </row>
    <row r="291" spans="1:10" x14ac:dyDescent="0.2">
      <c r="A291">
        <v>4766949</v>
      </c>
      <c r="B291" t="s">
        <v>9</v>
      </c>
      <c r="C291">
        <v>550000</v>
      </c>
      <c r="D291" s="1" t="d">
        <v>2003-05-30</v>
      </c>
      <c r="E291">
        <v>2003</v>
      </c>
      <c r="F291">
        <v>5</v>
      </c>
      <c r="G291">
        <v>30</v>
      </c>
      <c r="H291" t="s">
        <v>13</v>
      </c>
      <c r="I291">
        <v>16.317699999999999</v>
      </c>
      <c r="J291">
        <v>2140</v>
      </c>
    </row>
    <row r="292" spans="1:10" x14ac:dyDescent="0.2">
      <c r="A292">
        <v>7619988</v>
      </c>
      <c r="B292" t="s">
        <v>9</v>
      </c>
      <c r="C292">
        <v>550000</v>
      </c>
      <c r="D292" s="1" t="d">
        <v>2014-11-28</v>
      </c>
      <c r="E292">
        <v>2014</v>
      </c>
      <c r="F292">
        <v>11</v>
      </c>
      <c r="G292">
        <v>28</v>
      </c>
      <c r="H292" t="s">
        <v>12</v>
      </c>
      <c r="I292">
        <v>16.317699999999999</v>
      </c>
    </row>
    <row r="293" spans="1:10" x14ac:dyDescent="0.2">
      <c r="A293">
        <v>4767059</v>
      </c>
      <c r="B293" t="s">
        <v>9</v>
      </c>
      <c r="C293">
        <v>555000</v>
      </c>
      <c r="D293" s="1" t="d">
        <v>2009-02-09</v>
      </c>
      <c r="E293">
        <v>2009</v>
      </c>
      <c r="F293">
        <v>2</v>
      </c>
      <c r="G293">
        <v>9</v>
      </c>
      <c r="H293" t="s">
        <v>12</v>
      </c>
      <c r="I293">
        <v>16.317699999999999</v>
      </c>
      <c r="J293">
        <v>2140</v>
      </c>
    </row>
    <row r="294" spans="1:10" x14ac:dyDescent="0.2">
      <c r="A294">
        <v>4767040</v>
      </c>
      <c r="B294" t="s">
        <v>9</v>
      </c>
      <c r="C294">
        <v>590000</v>
      </c>
      <c r="D294" s="1" t="d">
        <v>2007-08-30</v>
      </c>
      <c r="E294">
        <v>2007</v>
      </c>
      <c r="F294">
        <v>8</v>
      </c>
      <c r="G294">
        <v>30</v>
      </c>
      <c r="H294" t="s">
        <v>11</v>
      </c>
      <c r="I294">
        <v>16.317699999999999</v>
      </c>
      <c r="J294">
        <v>2140</v>
      </c>
    </row>
    <row r="295" spans="1:10" x14ac:dyDescent="0.2">
      <c r="A295">
        <v>4767026</v>
      </c>
      <c r="B295" t="s">
        <v>9</v>
      </c>
      <c r="C295">
        <v>600000</v>
      </c>
      <c r="D295" s="1" t="d">
        <v>2006-03-31</v>
      </c>
      <c r="E295">
        <v>2006</v>
      </c>
      <c r="F295">
        <v>3</v>
      </c>
      <c r="G295">
        <v>31</v>
      </c>
      <c r="H295" t="s">
        <v>12</v>
      </c>
      <c r="I295">
        <v>16.317699999999999</v>
      </c>
      <c r="J295">
        <v>2140</v>
      </c>
    </row>
    <row r="296" spans="1:10" x14ac:dyDescent="0.2">
      <c r="A296">
        <v>4767044</v>
      </c>
      <c r="B296" t="s">
        <v>9</v>
      </c>
      <c r="C296">
        <v>620000</v>
      </c>
      <c r="D296" s="1" t="d">
        <v>2007-03-01</v>
      </c>
      <c r="E296">
        <v>2007</v>
      </c>
      <c r="F296">
        <v>3</v>
      </c>
      <c r="G296">
        <v>1</v>
      </c>
      <c r="H296" t="s">
        <v>12</v>
      </c>
      <c r="I296">
        <v>16.317699999999999</v>
      </c>
      <c r="J296">
        <v>2140</v>
      </c>
    </row>
    <row r="297" spans="1:10" x14ac:dyDescent="0.2">
      <c r="A297">
        <v>7619974</v>
      </c>
      <c r="B297" t="s">
        <v>9</v>
      </c>
      <c r="C297">
        <v>625000</v>
      </c>
      <c r="D297" s="1" t="d">
        <v>2013-10-09</v>
      </c>
      <c r="E297">
        <v>2013</v>
      </c>
      <c r="F297">
        <v>10</v>
      </c>
      <c r="G297">
        <v>9</v>
      </c>
      <c r="H297" t="s">
        <v>10</v>
      </c>
      <c r="I297">
        <v>16.317699999999999</v>
      </c>
    </row>
    <row r="298" spans="1:10" x14ac:dyDescent="0.2">
      <c r="A298">
        <v>4767054</v>
      </c>
      <c r="B298" t="s">
        <v>9</v>
      </c>
      <c r="C298">
        <v>650000</v>
      </c>
      <c r="D298" s="1" t="d">
        <v>2008-03-04</v>
      </c>
      <c r="E298">
        <v>2008</v>
      </c>
      <c r="F298">
        <v>3</v>
      </c>
      <c r="G298">
        <v>4</v>
      </c>
      <c r="H298" t="s">
        <v>11</v>
      </c>
      <c r="I298">
        <v>16.317699999999999</v>
      </c>
      <c r="J298">
        <v>2140</v>
      </c>
    </row>
    <row r="299" spans="1:10" x14ac:dyDescent="0.2">
      <c r="A299">
        <v>7620067</v>
      </c>
      <c r="B299" t="s">
        <v>9</v>
      </c>
      <c r="C299">
        <v>655022</v>
      </c>
      <c r="D299" s="1" t="d">
        <v>2017-01-17</v>
      </c>
      <c r="E299">
        <v>2017</v>
      </c>
      <c r="F299">
        <v>1</v>
      </c>
      <c r="G299">
        <v>17</v>
      </c>
      <c r="H299" t="s">
        <v>14</v>
      </c>
      <c r="I299">
        <v>16.317699999999999</v>
      </c>
    </row>
    <row r="300" spans="1:10" x14ac:dyDescent="0.2">
      <c r="A300">
        <v>4767074</v>
      </c>
      <c r="B300" t="s">
        <v>9</v>
      </c>
      <c r="C300">
        <v>659000</v>
      </c>
      <c r="D300" s="1" t="d">
        <v>2010-10-29</v>
      </c>
      <c r="E300">
        <v>2010</v>
      </c>
      <c r="F300">
        <v>10</v>
      </c>
      <c r="G300">
        <v>29</v>
      </c>
      <c r="H300" t="s">
        <v>10</v>
      </c>
      <c r="I300">
        <v>16.317699999999999</v>
      </c>
      <c r="J300">
        <v>2140</v>
      </c>
    </row>
    <row r="301" spans="1:10" x14ac:dyDescent="0.2">
      <c r="A301">
        <v>4767061</v>
      </c>
      <c r="B301" t="s">
        <v>9</v>
      </c>
      <c r="C301">
        <v>700000</v>
      </c>
      <c r="D301" s="1" t="d">
        <v>2009-07-03</v>
      </c>
      <c r="E301">
        <v>2009</v>
      </c>
      <c r="F301">
        <v>7</v>
      </c>
      <c r="G301">
        <v>3</v>
      </c>
      <c r="H301" t="s">
        <v>11</v>
      </c>
      <c r="I301">
        <v>16.317699999999999</v>
      </c>
      <c r="J301">
        <v>2140</v>
      </c>
    </row>
    <row r="302" spans="1:10" x14ac:dyDescent="0.2">
      <c r="A302">
        <v>7620032</v>
      </c>
      <c r="B302" t="s">
        <v>9</v>
      </c>
      <c r="C302">
        <v>710000</v>
      </c>
      <c r="D302" s="1" t="d">
        <v>2016-12-15</v>
      </c>
      <c r="E302">
        <v>2016</v>
      </c>
      <c r="F302">
        <v>12</v>
      </c>
      <c r="G302">
        <v>15</v>
      </c>
      <c r="H302" t="s">
        <v>14</v>
      </c>
      <c r="I302">
        <v>16.317699999999999</v>
      </c>
    </row>
    <row r="303" spans="1:10" x14ac:dyDescent="0.2">
      <c r="A303">
        <v>7620034</v>
      </c>
      <c r="B303" t="s">
        <v>9</v>
      </c>
      <c r="C303">
        <v>715000</v>
      </c>
      <c r="D303" s="1" t="d">
        <v>2016-11-28</v>
      </c>
      <c r="E303">
        <v>2016</v>
      </c>
      <c r="F303">
        <v>11</v>
      </c>
      <c r="G303">
        <v>28</v>
      </c>
      <c r="H303" t="s">
        <v>14</v>
      </c>
      <c r="I303">
        <v>16.317699999999999</v>
      </c>
    </row>
    <row r="304" spans="1:10" x14ac:dyDescent="0.2">
      <c r="A304">
        <v>7619955</v>
      </c>
      <c r="B304" t="s">
        <v>9</v>
      </c>
      <c r="C304">
        <v>720000</v>
      </c>
      <c r="D304" s="1" t="d">
        <v>2011-04-20</v>
      </c>
      <c r="E304">
        <v>2011</v>
      </c>
      <c r="F304">
        <v>4</v>
      </c>
      <c r="G304">
        <v>20</v>
      </c>
      <c r="H304" t="s">
        <v>12</v>
      </c>
      <c r="I304">
        <v>16.317699999999999</v>
      </c>
    </row>
    <row r="305" spans="1:10" x14ac:dyDescent="0.2">
      <c r="A305">
        <v>7619961</v>
      </c>
      <c r="B305" t="s">
        <v>9</v>
      </c>
      <c r="C305">
        <v>735000</v>
      </c>
      <c r="D305" s="1" t="d">
        <v>2012-01-27</v>
      </c>
      <c r="E305">
        <v>2012</v>
      </c>
      <c r="F305">
        <v>1</v>
      </c>
      <c r="G305">
        <v>27</v>
      </c>
      <c r="H305" t="s">
        <v>12</v>
      </c>
      <c r="I305">
        <v>16.317699999999999</v>
      </c>
    </row>
    <row r="306" spans="1:10" x14ac:dyDescent="0.2">
      <c r="A306">
        <v>4767014</v>
      </c>
      <c r="B306" t="s">
        <v>9</v>
      </c>
      <c r="C306">
        <v>750000</v>
      </c>
      <c r="D306" s="1" t="d">
        <v>2006-11-15</v>
      </c>
      <c r="E306">
        <v>2006</v>
      </c>
      <c r="F306">
        <v>11</v>
      </c>
      <c r="G306">
        <v>15</v>
      </c>
      <c r="H306" t="s">
        <v>12</v>
      </c>
      <c r="I306">
        <v>16.317699999999999</v>
      </c>
      <c r="J306">
        <v>2140</v>
      </c>
    </row>
    <row r="307" spans="1:10" x14ac:dyDescent="0.2">
      <c r="A307">
        <v>4767064</v>
      </c>
      <c r="B307" t="s">
        <v>9</v>
      </c>
      <c r="C307">
        <v>760000</v>
      </c>
      <c r="D307" s="1" t="d">
        <v>2009-07-03</v>
      </c>
      <c r="E307">
        <v>2009</v>
      </c>
      <c r="F307">
        <v>7</v>
      </c>
      <c r="G307">
        <v>3</v>
      </c>
      <c r="H307" t="s">
        <v>11</v>
      </c>
      <c r="I307">
        <v>16.317699999999999</v>
      </c>
      <c r="J307">
        <v>2140</v>
      </c>
    </row>
    <row r="308" spans="1:10" x14ac:dyDescent="0.2">
      <c r="A308">
        <v>7620042</v>
      </c>
      <c r="B308" t="s">
        <v>9</v>
      </c>
      <c r="C308">
        <v>980000</v>
      </c>
      <c r="D308" s="1" t="d">
        <v>2016-03-31</v>
      </c>
      <c r="E308">
        <v>2016</v>
      </c>
      <c r="F308">
        <v>3</v>
      </c>
      <c r="G308">
        <v>31</v>
      </c>
      <c r="H308" t="s">
        <v>14</v>
      </c>
      <c r="I308">
        <v>16.317699999999999</v>
      </c>
    </row>
    <row r="309" spans="1:10" x14ac:dyDescent="0.2">
      <c r="A309">
        <v>7620062</v>
      </c>
      <c r="B309" t="s">
        <v>9</v>
      </c>
      <c r="C309">
        <v>1100000</v>
      </c>
      <c r="D309" s="1" t="d">
        <v>2017-05-17</v>
      </c>
      <c r="E309">
        <v>2017</v>
      </c>
      <c r="F309">
        <v>5</v>
      </c>
      <c r="G309">
        <v>17</v>
      </c>
      <c r="H309" t="s">
        <v>14</v>
      </c>
      <c r="I309">
        <v>16.317699999999999</v>
      </c>
    </row>
    <row r="310" spans="1:10" x14ac:dyDescent="0.2">
      <c r="A310">
        <v>4767030</v>
      </c>
      <c r="B310" t="s">
        <v>9</v>
      </c>
      <c r="C310">
        <v>1375000</v>
      </c>
      <c r="D310" s="1" t="d">
        <v>2007-10-19</v>
      </c>
      <c r="E310">
        <v>2007</v>
      </c>
      <c r="F310">
        <v>10</v>
      </c>
      <c r="G310">
        <v>19</v>
      </c>
      <c r="H310" t="s">
        <v>12</v>
      </c>
      <c r="I310">
        <v>16.317699999999999</v>
      </c>
      <c r="J310">
        <v>2140</v>
      </c>
    </row>
    <row r="311" spans="1:10" x14ac:dyDescent="0.2">
      <c r="A311">
        <v>7620017</v>
      </c>
      <c r="B311" t="s">
        <v>9</v>
      </c>
      <c r="C311">
        <v>1555496</v>
      </c>
      <c r="D311" s="1" t="d">
        <v>2015-04-24</v>
      </c>
      <c r="E311">
        <v>2015</v>
      </c>
      <c r="F311">
        <v>4</v>
      </c>
      <c r="G311">
        <v>24</v>
      </c>
      <c r="H311" t="s">
        <v>14</v>
      </c>
      <c r="I311">
        <v>16.317699999999999</v>
      </c>
    </row>
  </sheetData>
  <autoFilter ref="A1:J311">
    <sortState xmlns:xlrd2="http://schemas.microsoft.com/office/spreadsheetml/2017/richdata2" ref="A2:J311">
      <sortCondition ref="C1:C311"/>
    </sortState>
  </autoFilter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1"/>
  <sheetViews>
    <sheetView workbookViewId="0">
      <selection activeCell="E3" sqref="E3"/>
    </sheetView>
  </sheetViews>
  <sheetFormatPr baseColWidth="10" defaultRowHeight="16" x14ac:dyDescent="0.2"/>
  <cols>
    <col min="1" max="1" width="33.1640625" customWidth="1"/>
    <col min="2" max="2" width="28" customWidth="1"/>
  </cols>
  <sheetData>
    <row r="1" spans="1:2" ht="26" x14ac:dyDescent="0.3">
      <c r="A1" s="2" t="s">
        <v>19</v>
      </c>
    </row>
    <row r="3" spans="1:2" ht="20" x14ac:dyDescent="0.25">
      <c r="A3" s="4" t="s">
        <v>20</v>
      </c>
      <c r="B3" s="5">
        <f>_xlfn.QUARTILE.INC(Prices, 0)</f>
        <v>22500</v>
      </c>
    </row>
    <row r="4" spans="1:2" ht="20" x14ac:dyDescent="0.25">
      <c r="A4" s="4" t="s">
        <v>27</v>
      </c>
      <c r="B4" s="5">
        <f>_xlfn.QUARTILE.INC(Prices, 1)</f>
        <v>215250</v>
      </c>
    </row>
    <row r="5" spans="1:2" ht="20" x14ac:dyDescent="0.25">
      <c r="A5" s="4" t="s">
        <v>24</v>
      </c>
      <c r="B5" s="5">
        <f>_xlfn.MODE.SNGL((Prices))</f>
        <v>250000</v>
      </c>
    </row>
    <row r="6" spans="1:2" ht="20" x14ac:dyDescent="0.25">
      <c r="A6" s="4" t="s">
        <v>25</v>
      </c>
      <c r="B6" s="5">
        <f>_xlfn.QUARTILE.INC(Prices, 2)</f>
        <v>295000</v>
      </c>
    </row>
    <row r="7" spans="1:2" ht="20" x14ac:dyDescent="0.25">
      <c r="A7" s="4" t="s">
        <v>21</v>
      </c>
      <c r="B7" s="5">
        <f>AVERAGE(Prices)</f>
        <v>323536.09354838711</v>
      </c>
    </row>
    <row r="8" spans="1:2" ht="20" x14ac:dyDescent="0.25">
      <c r="A8" s="4" t="s">
        <v>22</v>
      </c>
      <c r="B8" s="5">
        <f>STDEV(Prices)</f>
        <v>177209.68172731809</v>
      </c>
    </row>
    <row r="9" spans="1:2" ht="20" x14ac:dyDescent="0.25">
      <c r="A9" s="4" t="s">
        <v>26</v>
      </c>
      <c r="B9" s="5">
        <f>B10-B4</f>
        <v>184750</v>
      </c>
    </row>
    <row r="10" spans="1:2" ht="20" x14ac:dyDescent="0.25">
      <c r="A10" s="4" t="s">
        <v>28</v>
      </c>
      <c r="B10" s="5">
        <f>_xlfn.QUARTILE.INC(Prices, 3)</f>
        <v>400000</v>
      </c>
    </row>
    <row r="11" spans="1:2" ht="20" x14ac:dyDescent="0.25">
      <c r="A11" s="4" t="s">
        <v>23</v>
      </c>
      <c r="B11" s="5">
        <f>_xlfn.QUARTILE.INC(Prices,4 )</f>
        <v>1555496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B1:M53"/>
  <sheetViews>
    <sheetView topLeftCell="I29" zoomScale="251" zoomScaleNormal="251" workbookViewId="0">
      <selection activeCell="L37" sqref="L37"/>
    </sheetView>
  </sheetViews>
  <sheetFormatPr baseColWidth="10" defaultRowHeight="16" x14ac:dyDescent="0.2"/>
  <cols>
    <col min="1" max="1" width="23" customWidth="1"/>
    <col min="2" max="2" width="12.83203125" bestFit="1" customWidth="1"/>
    <col min="3" max="3" width="16.1640625" customWidth="1"/>
    <col min="8" max="8" width="18.5" customWidth="1"/>
    <col min="9" max="9" width="17.33203125" customWidth="1"/>
  </cols>
  <sheetData>
    <row r="1" spans="7:13" ht="51" x14ac:dyDescent="0.2">
      <c r="G1" s="6" t="s">
        <v>15</v>
      </c>
      <c r="H1" s="6" t="s">
        <v>16</v>
      </c>
      <c r="I1" s="6" t="s">
        <v>17</v>
      </c>
      <c r="J1" s="6" t="s">
        <v>31</v>
      </c>
      <c r="K1" s="6" t="s">
        <v>18</v>
      </c>
      <c r="L1" s="6" t="s">
        <v>30</v>
      </c>
      <c r="M1" s="6" t="s">
        <v>29</v>
      </c>
    </row>
    <row r="2" spans="7:13" x14ac:dyDescent="0.2">
      <c r="G2" t="str">
        <f>_xlfn.CONCAT(H2, " - ", I2)</f>
        <v>0 - 49999</v>
      </c>
      <c r="H2" s="3">
        <v>0</v>
      </c>
      <c r="I2" s="3">
        <f>H2+49999</f>
        <v>49999</v>
      </c>
      <c r="J2" s="3">
        <f>I2-H2</f>
        <v>49999</v>
      </c>
      <c r="K2" cm="1">
        <f t="array" ref="K2:K35">FREQUENCY(Prices,I2:I34)</f>
        <v>5</v>
      </c>
      <c r="L2" s="8">
        <f>K2/J2</f>
        <v>1.0000200004000079E-4</v>
      </c>
      <c r="M2">
        <f>K2</f>
        <v>5</v>
      </c>
    </row>
    <row r="3" spans="7:13" x14ac:dyDescent="0.2">
      <c r="G3" t="str">
        <f t="shared" ref="G3:G34" si="0">_xlfn.CONCAT(H3, " - ", I3)</f>
        <v>50000 - 99999</v>
      </c>
      <c r="H3" s="3">
        <f>I2+1</f>
        <v>50000</v>
      </c>
      <c r="I3" s="3">
        <f t="shared" ref="I3:I34" si="1">H3+49999</f>
        <v>99999</v>
      </c>
      <c r="J3" s="3">
        <f t="shared" ref="J3:J34" si="2">I3-H3</f>
        <v>49999</v>
      </c>
      <c r="K3">
        <v>10</v>
      </c>
      <c r="L3" s="8">
        <f t="shared" ref="L3:L35" si="3">K3/J3</f>
        <v>2.0000400008000159E-4</v>
      </c>
      <c r="M3">
        <f>M2+K3</f>
        <v>15</v>
      </c>
    </row>
    <row r="4" spans="7:13" x14ac:dyDescent="0.2">
      <c r="G4" t="str">
        <f t="shared" si="0"/>
        <v>100000 - 149999</v>
      </c>
      <c r="H4" s="3">
        <f t="shared" ref="H4:H34" si="4">I3+1</f>
        <v>100000</v>
      </c>
      <c r="I4" s="3">
        <f t="shared" si="1"/>
        <v>149999</v>
      </c>
      <c r="J4" s="3">
        <f t="shared" si="2"/>
        <v>49999</v>
      </c>
      <c r="K4">
        <v>12</v>
      </c>
      <c r="L4" s="8">
        <f t="shared" si="3"/>
        <v>2.4000480009600192E-4</v>
      </c>
      <c r="M4">
        <f t="shared" ref="M4:M35" si="5">M3+K4</f>
        <v>27</v>
      </c>
    </row>
    <row r="5" spans="7:13" x14ac:dyDescent="0.2">
      <c r="G5" t="str">
        <f t="shared" si="0"/>
        <v>150000 - 199999</v>
      </c>
      <c r="H5" s="3">
        <f t="shared" si="4"/>
        <v>150000</v>
      </c>
      <c r="I5" s="3">
        <f t="shared" si="1"/>
        <v>199999</v>
      </c>
      <c r="J5" s="3">
        <f t="shared" si="2"/>
        <v>49999</v>
      </c>
      <c r="K5">
        <v>32</v>
      </c>
      <c r="L5" s="8">
        <f t="shared" si="3"/>
        <v>6.4001280025600515E-4</v>
      </c>
      <c r="M5">
        <f t="shared" si="5"/>
        <v>59</v>
      </c>
    </row>
    <row r="6" spans="7:13" x14ac:dyDescent="0.2">
      <c r="G6" t="str">
        <f t="shared" si="0"/>
        <v>200000 - 249999</v>
      </c>
      <c r="H6" s="3">
        <f t="shared" si="4"/>
        <v>200000</v>
      </c>
      <c r="I6" s="3">
        <f t="shared" si="1"/>
        <v>249999</v>
      </c>
      <c r="J6" s="3">
        <f t="shared" si="2"/>
        <v>49999</v>
      </c>
      <c r="K6">
        <v>60</v>
      </c>
      <c r="L6" s="8">
        <f t="shared" si="3"/>
        <v>1.2000240004800095E-3</v>
      </c>
      <c r="M6">
        <f t="shared" si="5"/>
        <v>119</v>
      </c>
    </row>
    <row r="7" spans="7:13" x14ac:dyDescent="0.2">
      <c r="G7" t="str">
        <f t="shared" si="0"/>
        <v>250000 - 299999</v>
      </c>
      <c r="H7" s="3">
        <f t="shared" si="4"/>
        <v>250000</v>
      </c>
      <c r="I7" s="3">
        <f t="shared" si="1"/>
        <v>299999</v>
      </c>
      <c r="J7" s="3">
        <f t="shared" si="2"/>
        <v>49999</v>
      </c>
      <c r="K7">
        <v>38</v>
      </c>
      <c r="L7" s="8">
        <f t="shared" si="3"/>
        <v>7.6001520030400608E-4</v>
      </c>
      <c r="M7">
        <f t="shared" si="5"/>
        <v>157</v>
      </c>
    </row>
    <row r="8" spans="7:13" x14ac:dyDescent="0.2">
      <c r="G8" t="str">
        <f t="shared" si="0"/>
        <v>300000 - 349999</v>
      </c>
      <c r="H8" s="3">
        <f t="shared" si="4"/>
        <v>300000</v>
      </c>
      <c r="I8" s="3">
        <f t="shared" si="1"/>
        <v>349999</v>
      </c>
      <c r="J8" s="3">
        <f t="shared" si="2"/>
        <v>49999</v>
      </c>
      <c r="K8">
        <v>38</v>
      </c>
      <c r="L8" s="8">
        <f t="shared" si="3"/>
        <v>7.6001520030400608E-4</v>
      </c>
      <c r="M8">
        <f t="shared" si="5"/>
        <v>195</v>
      </c>
    </row>
    <row r="9" spans="7:13" x14ac:dyDescent="0.2">
      <c r="G9" t="str">
        <f t="shared" si="0"/>
        <v>350000 - 399999</v>
      </c>
      <c r="H9" s="3">
        <f t="shared" si="4"/>
        <v>350000</v>
      </c>
      <c r="I9" s="3">
        <f t="shared" si="1"/>
        <v>399999</v>
      </c>
      <c r="J9" s="3">
        <f t="shared" si="2"/>
        <v>49999</v>
      </c>
      <c r="K9">
        <v>33</v>
      </c>
      <c r="L9" s="8">
        <f t="shared" si="3"/>
        <v>6.6001320026400523E-4</v>
      </c>
      <c r="M9">
        <f t="shared" si="5"/>
        <v>228</v>
      </c>
    </row>
    <row r="10" spans="7:13" x14ac:dyDescent="0.2">
      <c r="G10" t="str">
        <f t="shared" si="0"/>
        <v>400000 - 449999</v>
      </c>
      <c r="H10" s="3">
        <f t="shared" si="4"/>
        <v>400000</v>
      </c>
      <c r="I10" s="3">
        <f t="shared" si="1"/>
        <v>449999</v>
      </c>
      <c r="J10" s="3">
        <f t="shared" si="2"/>
        <v>49999</v>
      </c>
      <c r="K10">
        <v>32</v>
      </c>
      <c r="L10" s="8">
        <f t="shared" si="3"/>
        <v>6.4001280025600515E-4</v>
      </c>
      <c r="M10">
        <f t="shared" si="5"/>
        <v>260</v>
      </c>
    </row>
    <row r="11" spans="7:13" x14ac:dyDescent="0.2">
      <c r="G11" t="str">
        <f t="shared" si="0"/>
        <v>450000 - 499999</v>
      </c>
      <c r="H11" s="3">
        <f t="shared" si="4"/>
        <v>450000</v>
      </c>
      <c r="I11" s="3">
        <f t="shared" si="1"/>
        <v>499999</v>
      </c>
      <c r="J11" s="3">
        <f t="shared" si="2"/>
        <v>49999</v>
      </c>
      <c r="K11">
        <v>22</v>
      </c>
      <c r="L11" s="8">
        <f t="shared" si="3"/>
        <v>4.4000880017600351E-4</v>
      </c>
      <c r="M11">
        <f t="shared" si="5"/>
        <v>282</v>
      </c>
    </row>
    <row r="12" spans="7:13" x14ac:dyDescent="0.2">
      <c r="G12" t="str">
        <f t="shared" si="0"/>
        <v>500000 - 549999</v>
      </c>
      <c r="H12" s="3">
        <f t="shared" si="4"/>
        <v>500000</v>
      </c>
      <c r="I12" s="3">
        <f t="shared" si="1"/>
        <v>549999</v>
      </c>
      <c r="J12" s="3">
        <f t="shared" si="2"/>
        <v>49999</v>
      </c>
      <c r="K12">
        <v>7</v>
      </c>
      <c r="L12" s="8">
        <f t="shared" si="3"/>
        <v>1.4000280005600112E-4</v>
      </c>
      <c r="M12">
        <f t="shared" si="5"/>
        <v>289</v>
      </c>
    </row>
    <row r="13" spans="7:13" x14ac:dyDescent="0.2">
      <c r="G13" t="str">
        <f t="shared" si="0"/>
        <v>550000 - 599999</v>
      </c>
      <c r="H13" s="3">
        <f t="shared" si="4"/>
        <v>550000</v>
      </c>
      <c r="I13" s="3">
        <f t="shared" si="1"/>
        <v>599999</v>
      </c>
      <c r="J13" s="3">
        <f t="shared" si="2"/>
        <v>49999</v>
      </c>
      <c r="K13">
        <v>4</v>
      </c>
      <c r="L13" s="8">
        <f t="shared" si="3"/>
        <v>8.0001600032000644E-5</v>
      </c>
      <c r="M13">
        <f t="shared" si="5"/>
        <v>293</v>
      </c>
    </row>
    <row r="14" spans="7:13" x14ac:dyDescent="0.2">
      <c r="G14" t="str">
        <f t="shared" si="0"/>
        <v>600000 - 649999</v>
      </c>
      <c r="H14" s="3">
        <f t="shared" si="4"/>
        <v>600000</v>
      </c>
      <c r="I14" s="3">
        <f t="shared" si="1"/>
        <v>649999</v>
      </c>
      <c r="J14" s="3">
        <f t="shared" si="2"/>
        <v>49999</v>
      </c>
      <c r="K14">
        <v>3</v>
      </c>
      <c r="L14" s="8">
        <f t="shared" si="3"/>
        <v>6.0001200024000479E-5</v>
      </c>
      <c r="M14">
        <f t="shared" si="5"/>
        <v>296</v>
      </c>
    </row>
    <row r="15" spans="7:13" x14ac:dyDescent="0.2">
      <c r="G15" t="str">
        <f t="shared" si="0"/>
        <v>650000 - 699999</v>
      </c>
      <c r="H15" s="3">
        <f t="shared" si="4"/>
        <v>650000</v>
      </c>
      <c r="I15" s="3">
        <f t="shared" si="1"/>
        <v>699999</v>
      </c>
      <c r="J15" s="3">
        <f t="shared" si="2"/>
        <v>49999</v>
      </c>
      <c r="K15">
        <v>3</v>
      </c>
      <c r="L15" s="8">
        <f t="shared" si="3"/>
        <v>6.0001200024000479E-5</v>
      </c>
      <c r="M15">
        <f t="shared" si="5"/>
        <v>299</v>
      </c>
    </row>
    <row r="16" spans="7:13" x14ac:dyDescent="0.2">
      <c r="G16" t="str">
        <f t="shared" si="0"/>
        <v>700000 - 749999</v>
      </c>
      <c r="H16" s="3">
        <f t="shared" si="4"/>
        <v>700000</v>
      </c>
      <c r="I16" s="3">
        <f t="shared" si="1"/>
        <v>749999</v>
      </c>
      <c r="J16" s="3">
        <f t="shared" si="2"/>
        <v>49999</v>
      </c>
      <c r="K16">
        <v>5</v>
      </c>
      <c r="L16" s="8">
        <f t="shared" si="3"/>
        <v>1.0000200004000079E-4</v>
      </c>
      <c r="M16">
        <f t="shared" si="5"/>
        <v>304</v>
      </c>
    </row>
    <row r="17" spans="7:13" x14ac:dyDescent="0.2">
      <c r="G17" t="str">
        <f t="shared" si="0"/>
        <v>750000 - 799999</v>
      </c>
      <c r="H17" s="3">
        <f t="shared" si="4"/>
        <v>750000</v>
      </c>
      <c r="I17" s="3">
        <f t="shared" si="1"/>
        <v>799999</v>
      </c>
      <c r="J17" s="3">
        <f t="shared" si="2"/>
        <v>49999</v>
      </c>
      <c r="K17">
        <v>2</v>
      </c>
      <c r="L17" s="8">
        <f t="shared" si="3"/>
        <v>4.0000800016000322E-5</v>
      </c>
      <c r="M17">
        <f t="shared" si="5"/>
        <v>306</v>
      </c>
    </row>
    <row r="18" spans="7:13" x14ac:dyDescent="0.2">
      <c r="G18" t="str">
        <f t="shared" si="0"/>
        <v>800000 - 849999</v>
      </c>
      <c r="H18" s="3">
        <f t="shared" si="4"/>
        <v>800000</v>
      </c>
      <c r="I18" s="3">
        <f t="shared" si="1"/>
        <v>849999</v>
      </c>
      <c r="J18" s="3">
        <f t="shared" si="2"/>
        <v>49999</v>
      </c>
      <c r="K18">
        <v>0</v>
      </c>
      <c r="L18" s="8">
        <f t="shared" si="3"/>
        <v>0</v>
      </c>
      <c r="M18">
        <f t="shared" si="5"/>
        <v>306</v>
      </c>
    </row>
    <row r="19" spans="7:13" x14ac:dyDescent="0.2">
      <c r="G19" t="str">
        <f t="shared" si="0"/>
        <v>850000 - 899999</v>
      </c>
      <c r="H19" s="3">
        <f t="shared" si="4"/>
        <v>850000</v>
      </c>
      <c r="I19" s="3">
        <f t="shared" si="1"/>
        <v>899999</v>
      </c>
      <c r="J19" s="3">
        <f t="shared" si="2"/>
        <v>49999</v>
      </c>
      <c r="K19">
        <v>0</v>
      </c>
      <c r="L19" s="8">
        <f t="shared" si="3"/>
        <v>0</v>
      </c>
      <c r="M19">
        <f t="shared" si="5"/>
        <v>306</v>
      </c>
    </row>
    <row r="20" spans="7:13" x14ac:dyDescent="0.2">
      <c r="G20" t="str">
        <f t="shared" si="0"/>
        <v>900000 - 949999</v>
      </c>
      <c r="H20" s="3">
        <f t="shared" si="4"/>
        <v>900000</v>
      </c>
      <c r="I20" s="3">
        <f t="shared" si="1"/>
        <v>949999</v>
      </c>
      <c r="J20" s="3">
        <f t="shared" si="2"/>
        <v>49999</v>
      </c>
      <c r="K20">
        <v>0</v>
      </c>
      <c r="L20" s="8">
        <f t="shared" si="3"/>
        <v>0</v>
      </c>
      <c r="M20">
        <f t="shared" si="5"/>
        <v>306</v>
      </c>
    </row>
    <row r="21" spans="7:13" x14ac:dyDescent="0.2">
      <c r="G21" t="str">
        <f t="shared" si="0"/>
        <v>950000 - 999999</v>
      </c>
      <c r="H21" s="3">
        <f t="shared" si="4"/>
        <v>950000</v>
      </c>
      <c r="I21" s="3">
        <f t="shared" si="1"/>
        <v>999999</v>
      </c>
      <c r="J21" s="3">
        <f t="shared" si="2"/>
        <v>49999</v>
      </c>
      <c r="K21">
        <v>1</v>
      </c>
      <c r="L21" s="8">
        <f t="shared" si="3"/>
        <v>2.0000400008000161E-5</v>
      </c>
      <c r="M21">
        <f t="shared" si="5"/>
        <v>307</v>
      </c>
    </row>
    <row r="22" spans="7:13" x14ac:dyDescent="0.2">
      <c r="G22" t="str">
        <f t="shared" si="0"/>
        <v>1000000 - 1049999</v>
      </c>
      <c r="H22" s="3">
        <f t="shared" si="4"/>
        <v>1000000</v>
      </c>
      <c r="I22" s="3">
        <f t="shared" si="1"/>
        <v>1049999</v>
      </c>
      <c r="J22" s="3">
        <f t="shared" si="2"/>
        <v>49999</v>
      </c>
      <c r="K22">
        <v>0</v>
      </c>
      <c r="L22" s="8">
        <f t="shared" si="3"/>
        <v>0</v>
      </c>
      <c r="M22">
        <f t="shared" si="5"/>
        <v>307</v>
      </c>
    </row>
    <row r="23" spans="7:13" x14ac:dyDescent="0.2">
      <c r="G23" t="str">
        <f t="shared" si="0"/>
        <v>1050000 - 1099999</v>
      </c>
      <c r="H23" s="3">
        <f t="shared" si="4"/>
        <v>1050000</v>
      </c>
      <c r="I23" s="3">
        <f t="shared" si="1"/>
        <v>1099999</v>
      </c>
      <c r="J23" s="3">
        <f t="shared" si="2"/>
        <v>49999</v>
      </c>
      <c r="K23">
        <v>0</v>
      </c>
      <c r="L23" s="8">
        <f t="shared" si="3"/>
        <v>0</v>
      </c>
      <c r="M23">
        <f t="shared" si="5"/>
        <v>307</v>
      </c>
    </row>
    <row r="24" spans="7:13" x14ac:dyDescent="0.2">
      <c r="G24" t="str">
        <f t="shared" si="0"/>
        <v>1100000 - 1149999</v>
      </c>
      <c r="H24" s="3">
        <f t="shared" si="4"/>
        <v>1100000</v>
      </c>
      <c r="I24" s="3">
        <f t="shared" si="1"/>
        <v>1149999</v>
      </c>
      <c r="J24" s="3">
        <f t="shared" si="2"/>
        <v>49999</v>
      </c>
      <c r="K24">
        <v>1</v>
      </c>
      <c r="L24" s="8">
        <f t="shared" si="3"/>
        <v>2.0000400008000161E-5</v>
      </c>
      <c r="M24">
        <f t="shared" si="5"/>
        <v>308</v>
      </c>
    </row>
    <row r="25" spans="7:13" x14ac:dyDescent="0.2">
      <c r="G25" t="str">
        <f t="shared" si="0"/>
        <v>1150000 - 1199999</v>
      </c>
      <c r="H25" s="3">
        <f t="shared" si="4"/>
        <v>1150000</v>
      </c>
      <c r="I25" s="3">
        <f t="shared" si="1"/>
        <v>1199999</v>
      </c>
      <c r="J25" s="3">
        <f t="shared" si="2"/>
        <v>49999</v>
      </c>
      <c r="K25">
        <v>0</v>
      </c>
      <c r="L25" s="8">
        <f t="shared" si="3"/>
        <v>0</v>
      </c>
      <c r="M25">
        <f t="shared" si="5"/>
        <v>308</v>
      </c>
    </row>
    <row r="26" spans="7:13" x14ac:dyDescent="0.2">
      <c r="G26" t="str">
        <f t="shared" si="0"/>
        <v>1200000 - 1249999</v>
      </c>
      <c r="H26" s="3">
        <f t="shared" si="4"/>
        <v>1200000</v>
      </c>
      <c r="I26" s="3">
        <f t="shared" si="1"/>
        <v>1249999</v>
      </c>
      <c r="J26" s="3">
        <f t="shared" si="2"/>
        <v>49999</v>
      </c>
      <c r="K26">
        <v>0</v>
      </c>
      <c r="L26" s="8">
        <f t="shared" si="3"/>
        <v>0</v>
      </c>
      <c r="M26">
        <f t="shared" si="5"/>
        <v>308</v>
      </c>
    </row>
    <row r="27" spans="7:13" x14ac:dyDescent="0.2">
      <c r="G27" t="str">
        <f t="shared" si="0"/>
        <v>1250000 - 1299999</v>
      </c>
      <c r="H27" s="3">
        <f t="shared" si="4"/>
        <v>1250000</v>
      </c>
      <c r="I27" s="3">
        <f t="shared" si="1"/>
        <v>1299999</v>
      </c>
      <c r="J27" s="3">
        <f t="shared" si="2"/>
        <v>49999</v>
      </c>
      <c r="K27">
        <v>0</v>
      </c>
      <c r="L27" s="8">
        <f t="shared" si="3"/>
        <v>0</v>
      </c>
      <c r="M27">
        <f t="shared" si="5"/>
        <v>308</v>
      </c>
    </row>
    <row r="28" spans="7:13" x14ac:dyDescent="0.2">
      <c r="G28" t="str">
        <f t="shared" si="0"/>
        <v>1300000 - 1349999</v>
      </c>
      <c r="H28" s="3">
        <f t="shared" si="4"/>
        <v>1300000</v>
      </c>
      <c r="I28" s="3">
        <f t="shared" si="1"/>
        <v>1349999</v>
      </c>
      <c r="J28" s="3">
        <f t="shared" si="2"/>
        <v>49999</v>
      </c>
      <c r="K28">
        <v>0</v>
      </c>
      <c r="L28" s="8">
        <f t="shared" si="3"/>
        <v>0</v>
      </c>
      <c r="M28">
        <f t="shared" si="5"/>
        <v>308</v>
      </c>
    </row>
    <row r="29" spans="7:13" x14ac:dyDescent="0.2">
      <c r="G29" t="str">
        <f t="shared" si="0"/>
        <v>1350000 - 1399999</v>
      </c>
      <c r="H29" s="3">
        <f t="shared" si="4"/>
        <v>1350000</v>
      </c>
      <c r="I29" s="3">
        <f t="shared" si="1"/>
        <v>1399999</v>
      </c>
      <c r="J29" s="3">
        <f t="shared" si="2"/>
        <v>49999</v>
      </c>
      <c r="K29">
        <v>1</v>
      </c>
      <c r="L29" s="8">
        <f t="shared" si="3"/>
        <v>2.0000400008000161E-5</v>
      </c>
      <c r="M29">
        <f t="shared" si="5"/>
        <v>309</v>
      </c>
    </row>
    <row r="30" spans="7:13" x14ac:dyDescent="0.2">
      <c r="G30" t="str">
        <f t="shared" si="0"/>
        <v>1400000 - 1449999</v>
      </c>
      <c r="H30" s="3">
        <f t="shared" si="4"/>
        <v>1400000</v>
      </c>
      <c r="I30" s="3">
        <f t="shared" si="1"/>
        <v>1449999</v>
      </c>
      <c r="J30" s="3">
        <f t="shared" si="2"/>
        <v>49999</v>
      </c>
      <c r="K30">
        <v>0</v>
      </c>
      <c r="L30" s="8">
        <f t="shared" si="3"/>
        <v>0</v>
      </c>
      <c r="M30">
        <f t="shared" si="5"/>
        <v>309</v>
      </c>
    </row>
    <row r="31" spans="7:13" x14ac:dyDescent="0.2">
      <c r="G31" t="str">
        <f t="shared" si="0"/>
        <v>1450000 - 1499999</v>
      </c>
      <c r="H31" s="3">
        <f t="shared" si="4"/>
        <v>1450000</v>
      </c>
      <c r="I31" s="3">
        <f t="shared" si="1"/>
        <v>1499999</v>
      </c>
      <c r="J31" s="3">
        <f t="shared" si="2"/>
        <v>49999</v>
      </c>
      <c r="K31">
        <v>0</v>
      </c>
      <c r="L31" s="8">
        <f t="shared" si="3"/>
        <v>0</v>
      </c>
      <c r="M31">
        <f t="shared" si="5"/>
        <v>309</v>
      </c>
    </row>
    <row r="32" spans="7:13" x14ac:dyDescent="0.2">
      <c r="G32" t="str">
        <f t="shared" si="0"/>
        <v>1500000 - 1549999</v>
      </c>
      <c r="H32" s="3">
        <f t="shared" si="4"/>
        <v>1500000</v>
      </c>
      <c r="I32" s="3">
        <f t="shared" si="1"/>
        <v>1549999</v>
      </c>
      <c r="J32" s="3">
        <f t="shared" si="2"/>
        <v>49999</v>
      </c>
      <c r="K32">
        <v>0</v>
      </c>
      <c r="L32" s="8">
        <f t="shared" si="3"/>
        <v>0</v>
      </c>
      <c r="M32">
        <f t="shared" si="5"/>
        <v>309</v>
      </c>
    </row>
    <row r="33" spans="2:13" x14ac:dyDescent="0.2">
      <c r="G33" t="str">
        <f t="shared" si="0"/>
        <v>1550000 - 1599999</v>
      </c>
      <c r="H33" s="3">
        <f t="shared" si="4"/>
        <v>1550000</v>
      </c>
      <c r="I33" s="3">
        <f t="shared" si="1"/>
        <v>1599999</v>
      </c>
      <c r="J33" s="3">
        <f t="shared" si="2"/>
        <v>49999</v>
      </c>
      <c r="K33">
        <v>1</v>
      </c>
      <c r="L33" s="8">
        <f t="shared" si="3"/>
        <v>2.0000400008000161E-5</v>
      </c>
      <c r="M33">
        <f t="shared" si="5"/>
        <v>310</v>
      </c>
    </row>
    <row r="34" spans="2:13" x14ac:dyDescent="0.2">
      <c r="G34" t="str">
        <f t="shared" si="0"/>
        <v>1600000 - 1649999</v>
      </c>
      <c r="H34" s="3">
        <f t="shared" si="4"/>
        <v>1600000</v>
      </c>
      <c r="I34" s="3">
        <f t="shared" si="1"/>
        <v>1649999</v>
      </c>
      <c r="J34" s="3">
        <f t="shared" si="2"/>
        <v>49999</v>
      </c>
      <c r="K34">
        <v>0</v>
      </c>
      <c r="L34" s="8">
        <f t="shared" si="3"/>
        <v>0</v>
      </c>
      <c r="M34">
        <f t="shared" si="5"/>
        <v>310</v>
      </c>
    </row>
    <row r="35" spans="2:13" x14ac:dyDescent="0.2">
      <c r="H35" s="7"/>
      <c r="I35" s="7"/>
      <c r="J35" s="7"/>
      <c r="K35">
        <v>0</v>
      </c>
      <c r="L35" s="3"/>
      <c r="M35">
        <f t="shared" si="5"/>
        <v>310</v>
      </c>
    </row>
    <row r="36" spans="2:13" x14ac:dyDescent="0.2">
      <c r="B36" s="7"/>
      <c r="C36" s="7"/>
    </row>
    <row r="37" spans="2:13" x14ac:dyDescent="0.2">
      <c r="B37" s="7"/>
      <c r="C37" s="7"/>
    </row>
    <row r="38" spans="2:13" x14ac:dyDescent="0.2">
      <c r="B38" s="7"/>
      <c r="C38" s="7"/>
    </row>
    <row r="39" spans="2:13" x14ac:dyDescent="0.2">
      <c r="B39" s="7"/>
      <c r="C39" s="7"/>
    </row>
    <row r="40" spans="2:13" x14ac:dyDescent="0.2">
      <c r="B40" s="7"/>
      <c r="C40" s="7"/>
    </row>
    <row r="41" spans="2:13" x14ac:dyDescent="0.2">
      <c r="B41" s="7"/>
      <c r="C41" s="7"/>
    </row>
    <row r="42" spans="2:13" x14ac:dyDescent="0.2">
      <c r="B42" s="7"/>
      <c r="C42" s="7"/>
    </row>
    <row r="43" spans="2:13" x14ac:dyDescent="0.2">
      <c r="B43" s="7"/>
      <c r="C43" s="7"/>
    </row>
    <row r="44" spans="2:13" x14ac:dyDescent="0.2">
      <c r="B44" s="7"/>
      <c r="C44" s="7"/>
    </row>
    <row r="45" spans="2:13" x14ac:dyDescent="0.2">
      <c r="B45" s="7"/>
      <c r="C45" s="7"/>
    </row>
    <row r="46" spans="2:13" x14ac:dyDescent="0.2">
      <c r="B46" s="7"/>
      <c r="C46" s="7"/>
    </row>
    <row r="47" spans="2:13" x14ac:dyDescent="0.2">
      <c r="B47" s="7"/>
      <c r="C47" s="7"/>
    </row>
    <row r="48" spans="2:13" x14ac:dyDescent="0.2">
      <c r="B48" s="7"/>
      <c r="C48" s="7"/>
    </row>
    <row r="49" spans="2:3" x14ac:dyDescent="0.2">
      <c r="B49" s="7"/>
      <c r="C49" s="7"/>
    </row>
    <row r="50" spans="2:3" x14ac:dyDescent="0.2">
      <c r="B50" s="7"/>
      <c r="C50" s="7"/>
    </row>
    <row r="51" spans="2:3" x14ac:dyDescent="0.2">
      <c r="B51" s="7"/>
      <c r="C51" s="7"/>
    </row>
    <row r="52" spans="2:3" x14ac:dyDescent="0.2">
      <c r="B52" s="7"/>
      <c r="C52" s="7"/>
    </row>
    <row r="53" spans="2:3" x14ac:dyDescent="0.2">
      <c r="B53" s="7"/>
      <c r="C53" s="7"/>
    </row>
  </sheetData>
  <phoneticPr fontId="21" type="noConversion"/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20"/>
  <sheetViews>
    <sheetView topLeftCell="B1" workbookViewId="0">
      <selection activeCell="E26" sqref="E26"/>
    </sheetView>
  </sheetViews>
  <sheetFormatPr baseColWidth="10" defaultRowHeight="16" x14ac:dyDescent="0.2"/>
  <cols>
    <col min="1" max="1" width="13" bestFit="1" customWidth="1"/>
    <col min="2" max="2" width="15.5" bestFit="1" customWidth="1"/>
    <col min="3" max="6" width="7.1640625" bestFit="1" customWidth="1"/>
  </cols>
  <sheetData>
    <row r="1" spans="1:7" x14ac:dyDescent="0.2">
      <c r="A1" s="9" t="s">
        <v>35</v>
      </c>
      <c r="B1" s="9" t="s">
        <v>34</v>
      </c>
    </row>
    <row r="2" spans="1:7" x14ac:dyDescent="0.2">
      <c r="A2" s="9" t="s">
        <v>32</v>
      </c>
      <c r="B2" t="s">
        <v>12</v>
      </c>
      <c r="C2" t="s">
        <v>13</v>
      </c>
      <c r="D2" t="s">
        <v>14</v>
      </c>
      <c r="E2" t="s">
        <v>10</v>
      </c>
      <c r="F2" t="s">
        <v>11</v>
      </c>
      <c r="G2" t="s">
        <v>33</v>
      </c>
    </row>
    <row r="3" spans="1:7" x14ac:dyDescent="0.2">
      <c r="A3" s="10">
        <v>2001</v>
      </c>
      <c r="B3" s="11">
        <v>0.22222222222222221</v>
      </c>
      <c r="C3" s="11">
        <v>0.44444444444444442</v>
      </c>
      <c r="D3" s="11">
        <v>0</v>
      </c>
      <c r="E3" s="11">
        <v>0.1111111111111111</v>
      </c>
      <c r="F3" s="11">
        <v>0.22222222222222221</v>
      </c>
      <c r="G3" s="11">
        <v>1</v>
      </c>
    </row>
    <row r="4" spans="1:7" x14ac:dyDescent="0.2">
      <c r="A4" s="10">
        <v>2002</v>
      </c>
      <c r="B4" s="11">
        <v>0.1875</v>
      </c>
      <c r="C4" s="11">
        <v>0.5625</v>
      </c>
      <c r="D4" s="11">
        <v>0</v>
      </c>
      <c r="E4" s="11">
        <v>0.125</v>
      </c>
      <c r="F4" s="11">
        <v>0.125</v>
      </c>
      <c r="G4" s="11">
        <v>1</v>
      </c>
    </row>
    <row r="5" spans="1:7" x14ac:dyDescent="0.2">
      <c r="A5" s="10">
        <v>2003</v>
      </c>
      <c r="B5" s="11">
        <v>0.35714285714285715</v>
      </c>
      <c r="C5" s="11">
        <v>0.35714285714285715</v>
      </c>
      <c r="D5" s="11">
        <v>0</v>
      </c>
      <c r="E5" s="11">
        <v>0.10714285714285714</v>
      </c>
      <c r="F5" s="11">
        <v>0.17857142857142858</v>
      </c>
      <c r="G5" s="11">
        <v>1</v>
      </c>
    </row>
    <row r="6" spans="1:7" x14ac:dyDescent="0.2">
      <c r="A6" s="10">
        <v>2004</v>
      </c>
      <c r="B6" s="11">
        <v>0.28000000000000003</v>
      </c>
      <c r="C6" s="11">
        <v>0.48</v>
      </c>
      <c r="D6" s="11">
        <v>0</v>
      </c>
      <c r="E6" s="11">
        <v>0.08</v>
      </c>
      <c r="F6" s="11">
        <v>0.16</v>
      </c>
      <c r="G6" s="11">
        <v>1</v>
      </c>
    </row>
    <row r="7" spans="1:7" x14ac:dyDescent="0.2">
      <c r="A7" s="10">
        <v>2005</v>
      </c>
      <c r="B7" s="11">
        <v>6.6666666666666666E-2</v>
      </c>
      <c r="C7" s="11">
        <v>0.53333333333333333</v>
      </c>
      <c r="D7" s="11">
        <v>0</v>
      </c>
      <c r="E7" s="11">
        <v>0</v>
      </c>
      <c r="F7" s="11">
        <v>0.4</v>
      </c>
      <c r="G7" s="11">
        <v>1</v>
      </c>
    </row>
    <row r="8" spans="1:7" x14ac:dyDescent="0.2">
      <c r="A8" s="10">
        <v>2006</v>
      </c>
      <c r="B8" s="11">
        <v>0.30769230769230771</v>
      </c>
      <c r="C8" s="11">
        <v>0.38461538461538464</v>
      </c>
      <c r="D8" s="11">
        <v>0</v>
      </c>
      <c r="E8" s="11">
        <v>0.15384615384615385</v>
      </c>
      <c r="F8" s="11">
        <v>0.15384615384615385</v>
      </c>
      <c r="G8" s="11">
        <v>1</v>
      </c>
    </row>
    <row r="9" spans="1:7" x14ac:dyDescent="0.2">
      <c r="A9" s="10">
        <v>2007</v>
      </c>
      <c r="B9" s="11">
        <v>0.33333333333333331</v>
      </c>
      <c r="C9" s="11">
        <v>0.47619047619047616</v>
      </c>
      <c r="D9" s="11">
        <v>0</v>
      </c>
      <c r="E9" s="11">
        <v>0</v>
      </c>
      <c r="F9" s="11">
        <v>0.19047619047619047</v>
      </c>
      <c r="G9" s="11">
        <v>1</v>
      </c>
    </row>
    <row r="10" spans="1:7" x14ac:dyDescent="0.2">
      <c r="A10" s="10">
        <v>2008</v>
      </c>
      <c r="B10" s="11">
        <v>0</v>
      </c>
      <c r="C10" s="11">
        <v>0.625</v>
      </c>
      <c r="D10" s="11">
        <v>0</v>
      </c>
      <c r="E10" s="11">
        <v>0.125</v>
      </c>
      <c r="F10" s="11">
        <v>0.25</v>
      </c>
      <c r="G10" s="11">
        <v>1</v>
      </c>
    </row>
    <row r="11" spans="1:7" x14ac:dyDescent="0.2">
      <c r="A11" s="10">
        <v>2009</v>
      </c>
      <c r="B11" s="11">
        <v>0.14285714285714285</v>
      </c>
      <c r="C11" s="11">
        <v>0.2857142857142857</v>
      </c>
      <c r="D11" s="11">
        <v>0</v>
      </c>
      <c r="E11" s="11">
        <v>0</v>
      </c>
      <c r="F11" s="11">
        <v>0.5714285714285714</v>
      </c>
      <c r="G11" s="11">
        <v>1</v>
      </c>
    </row>
    <row r="12" spans="1:7" x14ac:dyDescent="0.2">
      <c r="A12" s="10">
        <v>2010</v>
      </c>
      <c r="B12" s="11">
        <v>0.18181818181818182</v>
      </c>
      <c r="C12" s="11">
        <v>0.27272727272727271</v>
      </c>
      <c r="D12" s="11">
        <v>0</v>
      </c>
      <c r="E12" s="11">
        <v>0.27272727272727271</v>
      </c>
      <c r="F12" s="11">
        <v>0.27272727272727271</v>
      </c>
      <c r="G12" s="11">
        <v>1</v>
      </c>
    </row>
    <row r="13" spans="1:7" x14ac:dyDescent="0.2">
      <c r="A13" s="10">
        <v>2011</v>
      </c>
      <c r="B13" s="11">
        <v>0.17647058823529413</v>
      </c>
      <c r="C13" s="11">
        <v>0.29411764705882354</v>
      </c>
      <c r="D13" s="11">
        <v>0</v>
      </c>
      <c r="E13" s="11">
        <v>0.11764705882352941</v>
      </c>
      <c r="F13" s="11">
        <v>0.41176470588235292</v>
      </c>
      <c r="G13" s="11">
        <v>1</v>
      </c>
    </row>
    <row r="14" spans="1:7" x14ac:dyDescent="0.2">
      <c r="A14" s="10">
        <v>2012</v>
      </c>
      <c r="B14" s="11">
        <v>0.61538461538461542</v>
      </c>
      <c r="C14" s="11">
        <v>7.6923076923076927E-2</v>
      </c>
      <c r="D14" s="11">
        <v>0</v>
      </c>
      <c r="E14" s="11">
        <v>0</v>
      </c>
      <c r="F14" s="11">
        <v>0.30769230769230771</v>
      </c>
      <c r="G14" s="11">
        <v>1</v>
      </c>
    </row>
    <row r="15" spans="1:7" x14ac:dyDescent="0.2">
      <c r="A15" s="10">
        <v>2013</v>
      </c>
      <c r="B15" s="11">
        <v>0.16666666666666666</v>
      </c>
      <c r="C15" s="11">
        <v>0.25</v>
      </c>
      <c r="D15" s="11">
        <v>8.3333333333333329E-2</v>
      </c>
      <c r="E15" s="11">
        <v>0.41666666666666669</v>
      </c>
      <c r="F15" s="11">
        <v>8.3333333333333329E-2</v>
      </c>
      <c r="G15" s="11">
        <v>1</v>
      </c>
    </row>
    <row r="16" spans="1:7" x14ac:dyDescent="0.2">
      <c r="A16" s="10">
        <v>2014</v>
      </c>
      <c r="B16" s="11">
        <v>0.2</v>
      </c>
      <c r="C16" s="11">
        <v>0.4</v>
      </c>
      <c r="D16" s="11">
        <v>0.05</v>
      </c>
      <c r="E16" s="11">
        <v>0.15</v>
      </c>
      <c r="F16" s="11">
        <v>0.2</v>
      </c>
      <c r="G16" s="11">
        <v>1</v>
      </c>
    </row>
    <row r="17" spans="1:7" x14ac:dyDescent="0.2">
      <c r="A17" s="10">
        <v>2015</v>
      </c>
      <c r="B17" s="11">
        <v>0.2857142857142857</v>
      </c>
      <c r="C17" s="11">
        <v>0.33333333333333331</v>
      </c>
      <c r="D17" s="11">
        <v>9.5238095238095233E-2</v>
      </c>
      <c r="E17" s="11">
        <v>9.5238095238095233E-2</v>
      </c>
      <c r="F17" s="11">
        <v>0.19047619047619047</v>
      </c>
      <c r="G17" s="11">
        <v>1</v>
      </c>
    </row>
    <row r="18" spans="1:7" x14ac:dyDescent="0.2">
      <c r="A18" s="10">
        <v>2016</v>
      </c>
      <c r="B18" s="11">
        <v>0.12903225806451613</v>
      </c>
      <c r="C18" s="11">
        <v>0.41935483870967744</v>
      </c>
      <c r="D18" s="11">
        <v>0.19354838709677419</v>
      </c>
      <c r="E18" s="11">
        <v>9.6774193548387094E-2</v>
      </c>
      <c r="F18" s="11">
        <v>0.16129032258064516</v>
      </c>
      <c r="G18" s="11">
        <v>1</v>
      </c>
    </row>
    <row r="19" spans="1:7" x14ac:dyDescent="0.2">
      <c r="A19" s="10">
        <v>2017</v>
      </c>
      <c r="B19" s="11">
        <v>0</v>
      </c>
      <c r="C19" s="11">
        <v>0.5</v>
      </c>
      <c r="D19" s="11">
        <v>0.21428571428571427</v>
      </c>
      <c r="E19" s="11">
        <v>0.21428571428571427</v>
      </c>
      <c r="F19" s="11">
        <v>7.1428571428571425E-2</v>
      </c>
      <c r="G19" s="11">
        <v>1</v>
      </c>
    </row>
    <row r="20" spans="1:7" x14ac:dyDescent="0.2">
      <c r="A20" s="10" t="s">
        <v>33</v>
      </c>
      <c r="B20" s="11">
        <v>0.22903225806451613</v>
      </c>
      <c r="C20" s="11">
        <v>0.39677419354838711</v>
      </c>
      <c r="D20" s="11">
        <v>4.1935483870967745E-2</v>
      </c>
      <c r="E20" s="11">
        <v>0.11290322580645161</v>
      </c>
      <c r="F20" s="11">
        <v>0.21935483870967742</v>
      </c>
      <c r="G20" s="11">
        <v>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data</vt:lpstr>
      <vt:lpstr>Summary statistics</vt:lpstr>
      <vt:lpstr>Classes</vt:lpstr>
      <vt:lpstr>Contigency tables</vt:lpstr>
      <vt:lpstr>Dates vs Prices</vt:lpstr>
      <vt:lpstr>Prices Histograms</vt:lpstr>
      <vt:lpstr>Prices distribution outline</vt:lpstr>
      <vt:lpstr>Prices Cumulative distribution </vt:lpstr>
      <vt:lpstr>Prices - outlines of cum. dist.</vt:lpstr>
      <vt:lpstr>Proportion of Yearly sales</vt:lpstr>
      <vt:lpstr>Prices</vt:lpstr>
      <vt:lpstr>types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Pat.Ryser-Welch</dc:creator>
  <cp:lastModifiedBy>Pat.Ryser-Welch</cp:lastModifiedBy>
  <dcterms:created xsi:type="dcterms:W3CDTF">2024-03-30T14:11:32Z</dcterms:created>
  <dcterms:modified xsi:type="dcterms:W3CDTF">2024-03-30T16:00:49Z</dcterms:modified>
</cp:coreProperties>
</file>